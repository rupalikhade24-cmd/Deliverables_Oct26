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upali Badkar\Downloads\"/>
    </mc:Choice>
  </mc:AlternateContent>
  <xr:revisionPtr revIDLastSave="0" documentId="13_ncr:1_{4FA0D584-5C59-4442-A999-4F55FF8845A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puts" sheetId="8" r:id="rId1"/>
    <sheet name="Cost Savings" sheetId="4" r:id="rId2"/>
    <sheet name="Inference" sheetId="2" r:id="rId3"/>
    <sheet name="Embeddings" sheetId="3" r:id="rId4"/>
    <sheet name="Summary" sheetId="1" r:id="rId5"/>
    <sheet name="Way1_Per_Review" sheetId="5" r:id="rId6"/>
    <sheet name="Way2_Tokens_By_Document" sheetId="6" r:id="rId7"/>
    <sheet name="Cost_of_Status_Quo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6" i="8" l="1"/>
  <c r="D66" i="8"/>
  <c r="C66" i="8"/>
  <c r="B66" i="8"/>
  <c r="A66" i="8"/>
  <c r="E65" i="8"/>
  <c r="D65" i="8"/>
  <c r="C65" i="8"/>
  <c r="J30" i="5" s="1"/>
  <c r="B65" i="8"/>
  <c r="A65" i="8"/>
  <c r="E64" i="8"/>
  <c r="D64" i="8"/>
  <c r="C64" i="8"/>
  <c r="B64" i="8"/>
  <c r="I30" i="5" s="1"/>
  <c r="B10" i="1" s="1"/>
  <c r="A64" i="8"/>
  <c r="C33" i="7"/>
  <c r="C19" i="1" s="1"/>
  <c r="B33" i="7"/>
  <c r="B19" i="1" s="1"/>
  <c r="C29" i="7"/>
  <c r="C15" i="1" s="1"/>
  <c r="B29" i="7"/>
  <c r="C28" i="7"/>
  <c r="B28" i="7"/>
  <c r="B23" i="7"/>
  <c r="B26" i="1" s="1"/>
  <c r="B22" i="7"/>
  <c r="B25" i="1" s="1"/>
  <c r="B10" i="7"/>
  <c r="C30" i="7" s="1"/>
  <c r="C16" i="1" s="1"/>
  <c r="B7" i="7"/>
  <c r="I16" i="6"/>
  <c r="H16" i="6"/>
  <c r="B16" i="6"/>
  <c r="L14" i="6"/>
  <c r="K14" i="6"/>
  <c r="J14" i="6"/>
  <c r="L12" i="6"/>
  <c r="H12" i="6"/>
  <c r="F12" i="6"/>
  <c r="B12" i="6"/>
  <c r="I12" i="6" s="1"/>
  <c r="I11" i="6"/>
  <c r="H11" i="6"/>
  <c r="G11" i="6"/>
  <c r="E11" i="6"/>
  <c r="F11" i="6" s="1"/>
  <c r="B11" i="6"/>
  <c r="I10" i="6"/>
  <c r="F10" i="6"/>
  <c r="H10" i="6" s="1"/>
  <c r="L9" i="6"/>
  <c r="K9" i="6"/>
  <c r="I9" i="6"/>
  <c r="F9" i="6"/>
  <c r="H9" i="6" s="1"/>
  <c r="J9" i="6" s="1"/>
  <c r="G8" i="6"/>
  <c r="I8" i="6" s="1"/>
  <c r="F8" i="6"/>
  <c r="H8" i="6" s="1"/>
  <c r="E8" i="6"/>
  <c r="C8" i="6"/>
  <c r="B8" i="6"/>
  <c r="G7" i="6"/>
  <c r="E7" i="6"/>
  <c r="C7" i="6"/>
  <c r="F7" i="6" s="1"/>
  <c r="B7" i="6"/>
  <c r="C6" i="6"/>
  <c r="B6" i="6"/>
  <c r="G5" i="6"/>
  <c r="G6" i="6" s="1"/>
  <c r="E5" i="6"/>
  <c r="E6" i="6" s="1"/>
  <c r="C5" i="6"/>
  <c r="F5" i="6" s="1"/>
  <c r="B5" i="6"/>
  <c r="I5" i="6" s="1"/>
  <c r="K30" i="5"/>
  <c r="D10" i="1" s="1"/>
  <c r="K26" i="5"/>
  <c r="J26" i="5"/>
  <c r="I26" i="5"/>
  <c r="D24" i="5"/>
  <c r="K24" i="5" s="1"/>
  <c r="D23" i="5"/>
  <c r="K23" i="5" s="1"/>
  <c r="D22" i="5"/>
  <c r="K22" i="5" s="1"/>
  <c r="D21" i="5"/>
  <c r="K15" i="5"/>
  <c r="J15" i="5"/>
  <c r="I15" i="5"/>
  <c r="H15" i="5"/>
  <c r="G15" i="5"/>
  <c r="K14" i="5"/>
  <c r="J14" i="5"/>
  <c r="I14" i="5"/>
  <c r="H14" i="5"/>
  <c r="G14" i="5"/>
  <c r="K13" i="5"/>
  <c r="J13" i="5"/>
  <c r="I13" i="5"/>
  <c r="H13" i="5"/>
  <c r="G13" i="5"/>
  <c r="H12" i="5"/>
  <c r="G12" i="5"/>
  <c r="F12" i="5"/>
  <c r="E12" i="5"/>
  <c r="D12" i="5"/>
  <c r="F11" i="5"/>
  <c r="E11" i="5"/>
  <c r="D11" i="5"/>
  <c r="K10" i="5"/>
  <c r="J10" i="5"/>
  <c r="I10" i="5"/>
  <c r="H10" i="5"/>
  <c r="G10" i="5"/>
  <c r="K9" i="5"/>
  <c r="J9" i="5"/>
  <c r="I9" i="5"/>
  <c r="H9" i="5"/>
  <c r="G9" i="5"/>
  <c r="K8" i="5"/>
  <c r="J8" i="5"/>
  <c r="I8" i="5"/>
  <c r="H8" i="5"/>
  <c r="G8" i="5"/>
  <c r="K7" i="5"/>
  <c r="J7" i="5"/>
  <c r="I7" i="5"/>
  <c r="H7" i="5"/>
  <c r="G7" i="5"/>
  <c r="H6" i="5"/>
  <c r="G6" i="5"/>
  <c r="F6" i="5"/>
  <c r="E6" i="5"/>
  <c r="K5" i="5"/>
  <c r="J5" i="5"/>
  <c r="I5" i="5"/>
  <c r="H5" i="5"/>
  <c r="G5" i="5"/>
  <c r="E28" i="4"/>
  <c r="E26" i="4"/>
  <c r="E16" i="4"/>
  <c r="E9" i="4"/>
  <c r="E27" i="4" s="1"/>
  <c r="E8" i="4"/>
  <c r="E15" i="4" s="1"/>
  <c r="E7" i="4"/>
  <c r="E6" i="4"/>
  <c r="E5" i="4"/>
  <c r="D25" i="3"/>
  <c r="D23" i="3"/>
  <c r="D24" i="3" s="1"/>
  <c r="D26" i="3" s="1"/>
  <c r="J10" i="3"/>
  <c r="G8" i="3"/>
  <c r="D8" i="3"/>
  <c r="J7" i="3"/>
  <c r="J9" i="3" s="1"/>
  <c r="G7" i="3"/>
  <c r="D7" i="3"/>
  <c r="D9" i="3" s="1"/>
  <c r="D10" i="3" s="1"/>
  <c r="K18" i="2"/>
  <c r="C16" i="2"/>
  <c r="C14" i="2"/>
  <c r="C12" i="2"/>
  <c r="I8" i="2" s="1"/>
  <c r="G10" i="2"/>
  <c r="I10" i="2" s="1"/>
  <c r="F10" i="2"/>
  <c r="G9" i="2"/>
  <c r="I9" i="2" s="1"/>
  <c r="F9" i="2"/>
  <c r="C9" i="2"/>
  <c r="G8" i="2"/>
  <c r="F8" i="2"/>
  <c r="C8" i="2"/>
  <c r="G7" i="2"/>
  <c r="F7" i="2"/>
  <c r="C7" i="2"/>
  <c r="G6" i="2"/>
  <c r="I6" i="2" s="1"/>
  <c r="F6" i="2"/>
  <c r="C6" i="2"/>
  <c r="C10" i="2" s="1"/>
  <c r="B28" i="1"/>
  <c r="B27" i="1"/>
  <c r="B17" i="1"/>
  <c r="B14" i="1"/>
  <c r="I7" i="2" l="1"/>
  <c r="F6" i="6"/>
  <c r="G9" i="3"/>
  <c r="G10" i="3" s="1"/>
  <c r="C34" i="7"/>
  <c r="C10" i="1"/>
  <c r="D15" i="3"/>
  <c r="D17" i="3" s="1"/>
  <c r="D29" i="3" s="1"/>
  <c r="H6" i="2"/>
  <c r="J6" i="2" s="1"/>
  <c r="K6" i="2" s="1"/>
  <c r="I23" i="5"/>
  <c r="J23" i="5"/>
  <c r="E19" i="4"/>
  <c r="I7" i="6"/>
  <c r="H7" i="6"/>
  <c r="K12" i="5"/>
  <c r="J12" i="5"/>
  <c r="K10" i="6"/>
  <c r="J10" i="6"/>
  <c r="L10" i="6"/>
  <c r="H11" i="5"/>
  <c r="G11" i="5"/>
  <c r="K6" i="5"/>
  <c r="J6" i="5"/>
  <c r="G16" i="5"/>
  <c r="H16" i="5"/>
  <c r="E28" i="7"/>
  <c r="C14" i="1"/>
  <c r="I12" i="5"/>
  <c r="B15" i="1"/>
  <c r="E29" i="7"/>
  <c r="D15" i="1" s="1"/>
  <c r="E10" i="4"/>
  <c r="K8" i="6"/>
  <c r="J8" i="6"/>
  <c r="L8" i="6"/>
  <c r="L11" i="6"/>
  <c r="K11" i="6"/>
  <c r="J11" i="6"/>
  <c r="L16" i="6"/>
  <c r="K16" i="6"/>
  <c r="J16" i="6"/>
  <c r="C11" i="2"/>
  <c r="I6" i="6"/>
  <c r="I13" i="6" s="1"/>
  <c r="H8" i="2"/>
  <c r="J8" i="2" s="1"/>
  <c r="K8" i="2" s="1"/>
  <c r="I6" i="5"/>
  <c r="K12" i="6"/>
  <c r="H6" i="6"/>
  <c r="I22" i="5"/>
  <c r="J22" i="5"/>
  <c r="H5" i="6"/>
  <c r="J12" i="6"/>
  <c r="E17" i="4"/>
  <c r="E29" i="4" s="1"/>
  <c r="I24" i="5"/>
  <c r="B30" i="7"/>
  <c r="B32" i="7" s="1"/>
  <c r="B18" i="1" s="1"/>
  <c r="J24" i="5"/>
  <c r="K16" i="2" s="1"/>
  <c r="K6" i="6" l="1"/>
  <c r="J6" i="6"/>
  <c r="L6" i="6"/>
  <c r="J11" i="5"/>
  <c r="J16" i="5" s="1"/>
  <c r="J17" i="5" s="1"/>
  <c r="I11" i="5"/>
  <c r="I16" i="5" s="1"/>
  <c r="I17" i="5" s="1"/>
  <c r="K11" i="5"/>
  <c r="K16" i="5" s="1"/>
  <c r="K17" i="5" s="1"/>
  <c r="L5" i="6"/>
  <c r="K5" i="6"/>
  <c r="J5" i="6"/>
  <c r="J13" i="6" s="1"/>
  <c r="J15" i="6" s="1"/>
  <c r="B11" i="1" s="1"/>
  <c r="H13" i="6"/>
  <c r="C20" i="1"/>
  <c r="E30" i="7"/>
  <c r="D16" i="1" s="1"/>
  <c r="B16" i="1"/>
  <c r="C13" i="2"/>
  <c r="H10" i="2"/>
  <c r="J10" i="2" s="1"/>
  <c r="K10" i="2" s="1"/>
  <c r="H7" i="2"/>
  <c r="J7" i="2" s="1"/>
  <c r="K7" i="2" s="1"/>
  <c r="K17" i="2"/>
  <c r="E25" i="4"/>
  <c r="K15" i="2"/>
  <c r="D14" i="1"/>
  <c r="L7" i="6"/>
  <c r="K7" i="6"/>
  <c r="J7" i="6"/>
  <c r="H9" i="2"/>
  <c r="J9" i="2" s="1"/>
  <c r="K9" i="2" s="1"/>
  <c r="K13" i="6" l="1"/>
  <c r="K15" i="6" s="1"/>
  <c r="D5" i="1"/>
  <c r="K21" i="5"/>
  <c r="K25" i="5" s="1"/>
  <c r="B5" i="1"/>
  <c r="I21" i="5"/>
  <c r="I25" i="5" s="1"/>
  <c r="C11" i="1"/>
  <c r="L13" i="6"/>
  <c r="L15" i="6" s="1"/>
  <c r="D11" i="1" s="1"/>
  <c r="C5" i="1"/>
  <c r="J11" i="2"/>
  <c r="K11" i="2" s="1"/>
  <c r="K14" i="2" s="1"/>
  <c r="K19" i="2" s="1"/>
  <c r="K20" i="2" s="1"/>
  <c r="J21" i="5"/>
  <c r="J25" i="5" s="1"/>
  <c r="I29" i="5" l="1"/>
  <c r="B9" i="1" s="1"/>
  <c r="I27" i="5"/>
  <c r="E24" i="4"/>
  <c r="E31" i="4" s="1"/>
  <c r="E34" i="4" s="1"/>
  <c r="J27" i="5"/>
  <c r="J29" i="5"/>
  <c r="C9" i="1" s="1"/>
  <c r="K27" i="5"/>
  <c r="K29" i="5"/>
  <c r="D9" i="1" s="1"/>
  <c r="K28" i="5" l="1"/>
  <c r="D8" i="1" s="1"/>
  <c r="K31" i="5"/>
  <c r="D6" i="1" s="1"/>
  <c r="D7" i="1"/>
  <c r="J28" i="5"/>
  <c r="J31" i="5"/>
  <c r="C6" i="1" s="1"/>
  <c r="C7" i="1"/>
  <c r="E36" i="4"/>
  <c r="E35" i="4"/>
  <c r="I28" i="5"/>
  <c r="B8" i="1" s="1"/>
  <c r="B7" i="1"/>
  <c r="I31" i="5"/>
  <c r="B6" i="1" s="1"/>
  <c r="C31" i="7" l="1"/>
  <c r="C8" i="1"/>
  <c r="K17" i="6"/>
  <c r="E31" i="7" l="1"/>
  <c r="C17" i="1"/>
  <c r="C32" i="7"/>
  <c r="C18" i="1" s="1"/>
  <c r="D17" i="1" l="1"/>
  <c r="E32" i="7"/>
  <c r="C36" i="7" l="1"/>
  <c r="C22" i="1" s="1"/>
  <c r="D18" i="1"/>
  <c r="C35" i="7"/>
  <c r="C2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5" authorId="0" shapeId="0" xr:uid="{00000000-0006-0000-0500-000001000000}">
      <text>
        <r>
          <rPr>
            <sz val="10"/>
            <rFont val="Arial"/>
            <family val="2"/>
          </rPr>
          <t>1.0 = the clause scan reads the whole contract once; 0.19 = extraction re-reads the first 15,000 characters (about 3,750 of 20,000 tokens).</t>
        </r>
      </text>
    </comment>
  </commentList>
</comments>
</file>

<file path=xl/sharedStrings.xml><?xml version="1.0" encoding="utf-8"?>
<sst xmlns="http://schemas.openxmlformats.org/spreadsheetml/2006/main" count="440" uniqueCount="371">
  <si>
    <t>Atliq ContractLens: cost estimation summary</t>
  </si>
  <si>
    <t>All figures are formulas over the Inputs sheet. Yellow inputs are assumptions to confirm with Karandeep.</t>
  </si>
  <si>
    <t>Running cost of ContractLens</t>
  </si>
  <si>
    <t>A Prototype</t>
  </si>
  <si>
    <t>B Recommended</t>
  </si>
  <si>
    <t>C Premium</t>
  </si>
  <si>
    <t>Model cost per review (Way 1, incl. retries)</t>
  </si>
  <si>
    <t>Cost per contract incl. hosting (today's volume)</t>
  </si>
  <si>
    <t>Per month, today's 9 contracts (Way 1)</t>
  </si>
  <si>
    <t>Per year, today's volume (Way 1)</t>
  </si>
  <si>
    <t>Per year at 15 contracts a month (Way 1)</t>
  </si>
  <si>
    <t>One-time: signed archive into the register</t>
  </si>
  <si>
    <t>Per year, today's volume (Way 2 cross-check)</t>
  </si>
  <si>
    <t>Business case (scenario B, per year)</t>
  </si>
  <si>
    <t>Without AI</t>
  </si>
  <si>
    <t>With ContractLens</t>
  </si>
  <si>
    <t>Saving</t>
  </si>
  <si>
    <t>Karandeep's review time</t>
  </si>
  <si>
    <t>Outside counsel</t>
  </si>
  <si>
    <t>Expected incident cost</t>
  </si>
  <si>
    <t>ContractLens model + hosting</t>
  </si>
  <si>
    <t>Total per year</t>
  </si>
  <si>
    <t>Karandeep's hours on contracts per month</t>
  </si>
  <si>
    <t>One-time cost to go live</t>
  </si>
  <si>
    <t>Payback (months)</t>
  </si>
  <si>
    <t>Saving per $1 spent on running ContractLens</t>
  </si>
  <si>
    <t>What is at stake right now</t>
  </si>
  <si>
    <t>Value</t>
  </si>
  <si>
    <t>Deal value waiting on review</t>
  </si>
  <si>
    <t>Deals carrying a blocker-level risk</t>
  </si>
  <si>
    <t>Al Noor contract a missed conflict would breach</t>
  </si>
  <si>
    <t>Cost of one Brightwater-type incident</t>
  </si>
  <si>
    <t>Sheets: Inference, Embeddings and Cost Savings follow the Session 9 master-sheet format. Way1_Per_Review costs each workflow step; Way2_Tokens_By_Document counts input/output tokens by document type; Cost_of_Status_Quo compares with past losses and deals in hand. All inputs are on the Inputs sheet.</t>
  </si>
  <si>
    <t>Base Calculation (one contract review)</t>
  </si>
  <si>
    <t>Model Selection + Cost Estimation (per review, all tokens at one model)</t>
  </si>
  <si>
    <t>Description</t>
  </si>
  <si>
    <t>Quantity</t>
  </si>
  <si>
    <t>Model Name</t>
  </si>
  <si>
    <t>Input cost($) per 1M token</t>
  </si>
  <si>
    <t>Output cost($) per 1M token</t>
  </si>
  <si>
    <t>Cost per input Query($)</t>
  </si>
  <si>
    <t>Cost per output query Query($)</t>
  </si>
  <si>
    <t>Total Cost per query</t>
  </si>
  <si>
    <t>Total cost per month</t>
  </si>
  <si>
    <t>Draft text sent to the clause scan (6 parts x 3,500)</t>
  </si>
  <si>
    <t>Groq Llama 3.3 70B</t>
  </si>
  <si>
    <t>System prompt + playbook rules (per scan part)</t>
  </si>
  <si>
    <t>Groq Llama 3.1 8B</t>
  </si>
  <si>
    <t>Extraction: first 15,000 characters + prompt</t>
  </si>
  <si>
    <t>Claude Haiku 5.5</t>
  </si>
  <si>
    <t>Signed-contract register + passages (conflict check, 40% of reviews)</t>
  </si>
  <si>
    <t>Claude Sonnet 5.5</t>
  </si>
  <si>
    <t>Retries and re-runs (20%)</t>
  </si>
  <si>
    <t>Claude Opus 5.5</t>
  </si>
  <si>
    <t>Total input tokens per review</t>
  </si>
  <si>
    <t>Recommended mix (Sonnet 5.5 + Haiku 5.5 for extraction)</t>
  </si>
  <si>
    <t>Total output tokens per review (incl. retries)</t>
  </si>
  <si>
    <t>Total tokens per review</t>
  </si>
  <si>
    <t>Monthly ContractLens bill, recommended mix</t>
  </si>
  <si>
    <t>Contract reviews per working day (9 contracts x 1.5 drafts / 22)</t>
  </si>
  <si>
    <t>Contract reviews (row 11)</t>
  </si>
  <si>
    <t>Working days per month</t>
  </si>
  <si>
    <t>Signed contracts + short documents into the register</t>
  </si>
  <si>
    <t>Total monthly volume of reviews</t>
  </si>
  <si>
    <t>'Ask the contracts' questions</t>
  </si>
  <si>
    <t>Embeddings (Embeddings sheet)</t>
  </si>
  <si>
    <t>Hosting + storage (Vercel Pro)</t>
  </si>
  <si>
    <t>Total per month</t>
  </si>
  <si>
    <t>Token sizes assume real contracts of ~20,000 tokens (PRD). Prices from the Inputs sheet.</t>
  </si>
  <si>
    <t>Token/word</t>
  </si>
  <si>
    <t>Signed contracts (archive, one-time)</t>
  </si>
  <si>
    <t>Incoming drafts (per month)</t>
  </si>
  <si>
    <t>Notes + short documents (per month)</t>
  </si>
  <si>
    <t>Component</t>
  </si>
  <si>
    <t>Number of signed contracts</t>
  </si>
  <si>
    <t>Number of draft reviews</t>
  </si>
  <si>
    <t>Number of notes + short documents</t>
  </si>
  <si>
    <t>Number of words per contract</t>
  </si>
  <si>
    <t>Number of words per draft</t>
  </si>
  <si>
    <t>Number of words per document</t>
  </si>
  <si>
    <t>Total number of words</t>
  </si>
  <si>
    <t>Total Tokens</t>
  </si>
  <si>
    <t>Total tokens</t>
  </si>
  <si>
    <t>Document embeddings (archive once + one month of new documents)</t>
  </si>
  <si>
    <t>Cost/Quantity</t>
  </si>
  <si>
    <t>Total tokens for RAG</t>
  </si>
  <si>
    <t>Cost per 1M tokens (embedding model)</t>
  </si>
  <si>
    <t>Total cost for RAG</t>
  </si>
  <si>
    <t>User Query Embeddings</t>
  </si>
  <si>
    <t>Tokens per question</t>
  </si>
  <si>
    <t>'Ask the contracts' questions per month</t>
  </si>
  <si>
    <t>Token tokens per month</t>
  </si>
  <si>
    <t>Cost per 1M token</t>
  </si>
  <si>
    <t>Total cost for user query embeddings</t>
  </si>
  <si>
    <t>Total cost of Embeddings</t>
  </si>
  <si>
    <t>Prototype: Vercel uses keyword search (BM25) and the laptop uses a free local model (all-MiniLM-L6-v2), so embeddings cost $0 today. $0.13 per 1M tokens is a paid embedding API for production (assumption).</t>
  </si>
  <si>
    <t>Calculating Karandeep's review hours</t>
  </si>
  <si>
    <t>Contracts reviewed per month</t>
  </si>
  <si>
    <t>Hours per contract without AI</t>
  </si>
  <si>
    <t>Hours per contract with ContractLens</t>
  </si>
  <si>
    <t>Hours per month without AI</t>
  </si>
  <si>
    <t>Hours per month with ContractLens</t>
  </si>
  <si>
    <t>Hours given back per month</t>
  </si>
  <si>
    <t>Total monthly cost without AI</t>
  </si>
  <si>
    <t>Cost</t>
  </si>
  <si>
    <t>Karandeep's review time (hours x $150)</t>
  </si>
  <si>
    <t>Outside counsel (2 reviews x ₹1,20,000)</t>
  </si>
  <si>
    <t>Expected incident cost (Brightwater-type, per month)</t>
  </si>
  <si>
    <t>Cost with ContractLens (per month)</t>
  </si>
  <si>
    <t>Inference cost (model calls, recommended mix)</t>
  </si>
  <si>
    <t>Embeddings cost</t>
  </si>
  <si>
    <t>Hosting + storage</t>
  </si>
  <si>
    <t>Outside counsel (1 review, with a ready brief)</t>
  </si>
  <si>
    <t>Expected incident cost (80% caught)</t>
  </si>
  <si>
    <t>Total monthly cost with ContractLens</t>
  </si>
  <si>
    <t>Total Savings (per month)</t>
  </si>
  <si>
    <t>% Savings</t>
  </si>
  <si>
    <t>Total Savings (per year)</t>
  </si>
  <si>
    <t>Hours, rates and counsel volumes are assumptions on the Inputs sheet (yellow cells).</t>
  </si>
  <si>
    <t>Way 1: cost by workflow step (how ContractLens actually runs a review)</t>
  </si>
  <si>
    <t>Each review runs 11 steps. 8 are plain code and cost nothing per call; only 3 send text to a model. Token sizes come from Inputs.</t>
  </si>
  <si>
    <t>Step</t>
  </si>
  <si>
    <t>Done by</t>
  </si>
  <si>
    <t>Model</t>
  </si>
  <si>
    <t>Calls per review</t>
  </si>
  <si>
    <t>Input tokens per call</t>
  </si>
  <si>
    <t>Output tokens per call</t>
  </si>
  <si>
    <t>Input tokens per review</t>
  </si>
  <si>
    <t>Output tokens per review</t>
  </si>
  <si>
    <t>Cost/review A Prototype</t>
  </si>
  <si>
    <t>Cost/review B Recommended</t>
  </si>
  <si>
    <t>Cost/review C Premium</t>
  </si>
  <si>
    <t>1. Personal-data gate</t>
  </si>
  <si>
    <t>code</t>
  </si>
  <si>
    <t>none</t>
  </si>
  <si>
    <t>2. Extract fields (parties, law, places)</t>
  </si>
  <si>
    <t>AI</t>
  </si>
  <si>
    <t>fast</t>
  </si>
  <si>
    <t>3. Rule checks: entity, law, bundle, NDA, annexes</t>
  </si>
  <si>
    <t>4. Register check (signed promises)</t>
  </si>
  <si>
    <t>5. Repeat check (already signed / seen before)</t>
  </si>
  <si>
    <t>6. Retrieve passages (keyword search)</t>
  </si>
  <si>
    <t>7. AI clause scan vs playbook</t>
  </si>
  <si>
    <t>main</t>
  </si>
  <si>
    <t>8. AI conflict check (explains register hits)</t>
  </si>
  <si>
    <t>9. Citation check (quote must be verbatim)</t>
  </si>
  <si>
    <t>10. Brief + severity from playbook</t>
  </si>
  <si>
    <t>11. Outcome email from decisions</t>
  </si>
  <si>
    <t>Per review (before retries)</t>
  </si>
  <si>
    <t>Per review incl. retries</t>
  </si>
  <si>
    <t>Monthly and yearly cost</t>
  </si>
  <si>
    <t>Item</t>
  </si>
  <si>
    <t>Per month (today 9)</t>
  </si>
  <si>
    <t>Contract reviews (incl. revised drafts)</t>
  </si>
  <si>
    <t>New signed contracts into the register</t>
  </si>
  <si>
    <t>Short signed documents into the register</t>
  </si>
  <si>
    <t>Model cost per month</t>
  </si>
  <si>
    <t>Hosting + storage per month</t>
  </si>
  <si>
    <t>Total per month (today's volume)</t>
  </si>
  <si>
    <t>Total per year (today's volume)</t>
  </si>
  <si>
    <t>Total per year at target volume (15 a month)</t>
  </si>
  <si>
    <t>One-time: load the signed archive into the register</t>
  </si>
  <si>
    <t>Cost per contract (model + hosting, today's volume)</t>
  </si>
  <si>
    <t>Way 2: cost by document type (input tokens, output tokens, volumes)</t>
  </si>
  <si>
    <t>Top-down check on Way 1: how many documents of each kind reach the model each month, how many tokens go in and come out. Priced at the main model (conservative).</t>
  </si>
  <si>
    <t>Document / interaction</t>
  </si>
  <si>
    <t>Volume per month</t>
  </si>
  <si>
    <t>Tokens in the document</t>
  </si>
  <si>
    <t>Times the text is sent to the model</t>
  </si>
  <si>
    <t>Instructions + context per document</t>
  </si>
  <si>
    <t>Input tokens per document</t>
  </si>
  <si>
    <t>Output tokens per document</t>
  </si>
  <si>
    <t>Input tokens per month</t>
  </si>
  <si>
    <t>Output tokens per month</t>
  </si>
  <si>
    <t>A Prototype $/month</t>
  </si>
  <si>
    <t>B Recommended $/month</t>
  </si>
  <si>
    <t>C Premium $/month</t>
  </si>
  <si>
    <t>Incoming drafts: first review (MSA, SOW, NDA, BAA, partner)</t>
  </si>
  <si>
    <t>Incoming drafts: revised versions re-reviewed</t>
  </si>
  <si>
    <t>Signed contracts: new, read once for the register</t>
  </si>
  <si>
    <t>Waivers, letters, amendments</t>
  </si>
  <si>
    <t>Negotiation + meeting notes (search index only)</t>
  </si>
  <si>
    <t>Tracker rows, playbook, entity rules (code only)</t>
  </si>
  <si>
    <t>Outcome emails (built from the playbook)</t>
  </si>
  <si>
    <t>Check: Way 2 vs Way 1 yearly total (B Recommended)</t>
  </si>
  <si>
    <t>Way 2 prices everything at the main model, so it should be a bit higher.</t>
  </si>
  <si>
    <t>What the current way of working costs: past losses and deals in hand</t>
  </si>
  <si>
    <t>A. Past losses on record</t>
  </si>
  <si>
    <t>What happened</t>
  </si>
  <si>
    <t>Cost ($)</t>
  </si>
  <si>
    <t>Counted in yearly cost?</t>
  </si>
  <si>
    <t>Source</t>
  </si>
  <si>
    <t>What ContractLens does about it</t>
  </si>
  <si>
    <t>Brightwater: settlement credit (uncapped LD, English law, signed at an airport)</t>
  </si>
  <si>
    <t>Yes</t>
  </si>
  <si>
    <t>Tracker C-018 credit note; PRD 2.3</t>
  </si>
  <si>
    <t>LD and entity/law rules flag it before signing</t>
  </si>
  <si>
    <t>Brightwater: legal fees</t>
  </si>
  <si>
    <t>PRD 2.3; April 2026 post-mortem</t>
  </si>
  <si>
    <t>Same</t>
  </si>
  <si>
    <t>Brightwater: about two weeks of senior time</t>
  </si>
  <si>
    <t>Post-mortem; hours x hourly value</t>
  </si>
  <si>
    <t>ShopSwift: SOW sat 9 days in the queue, $55,000 budget moved a quarter</t>
  </si>
  <si>
    <t>No (revenue delayed, not lost)</t>
  </si>
  <si>
    <t>Tracker C-019</t>
  </si>
  <si>
    <t>Queue sorted by deadline; brief in minutes</t>
  </si>
  <si>
    <t>Kessler Mobility: EUR 120k MSA walked away over unlimited liability</t>
  </si>
  <si>
    <t>No (right call)</t>
  </si>
  <si>
    <t>Tracker C-015; negotiation notes</t>
  </si>
  <si>
    <t>Flags it on day one so the counter-offer goes out early</t>
  </si>
  <si>
    <t>One Brightwater-type incident costs</t>
  </si>
  <si>
    <t>B. Deals in hand (tracker, 28 Sep 2026) and the risk ContractLens found</t>
  </si>
  <si>
    <t>Deal</t>
  </si>
  <si>
    <t>Value ($)</t>
  </si>
  <si>
    <t>Deadline</t>
  </si>
  <si>
    <t>Risk found in review</t>
  </si>
  <si>
    <t>If missed</t>
  </si>
  <si>
    <t>Harrington Health MSA + BAA (C-023, C-046)</t>
  </si>
  <si>
    <t>1 Oct</t>
  </si>
  <si>
    <t>Patient data sent before a BAA; two subcontractor BAAs missing; LD 2% a day, uncapped</t>
  </si>
  <si>
    <t>HIPAA breach exposure on a $210k deal</t>
  </si>
  <si>
    <t>Gulf Crown Hotels MSA (C-025)</t>
  </si>
  <si>
    <t>10 Oct</t>
  </si>
  <si>
    <t>Collides with the Al Noor GCC non-compete (signed Mar 2025, active to Sep 2029)</t>
  </si>
  <si>
    <t>Breach of a $185k Al Noor contract</t>
  </si>
  <si>
    <t>Rheinwerk Analytics MSA + SOW (C-028)</t>
  </si>
  <si>
    <t>15 Oct</t>
  </si>
  <si>
    <t>PipeKit IP was assigned to Northwind; GDPR DPA needed</t>
  </si>
  <si>
    <t>IP warranty breach; GDPR exposure</t>
  </si>
  <si>
    <t>FinEdge Bank MSA (C-022)</t>
  </si>
  <si>
    <t>awaiting client</t>
  </si>
  <si>
    <t>Markup with the client since 18 Aug</t>
  </si>
  <si>
    <t>Deal stalls</t>
  </si>
  <si>
    <t>Lakeshore Grocers SOW + rate card (C-026)</t>
  </si>
  <si>
    <t>3 Oct</t>
  </si>
  <si>
    <t>$72/hr senior DE vs Crestline's most-favoured $85/hr</t>
  </si>
  <si>
    <t>Retroactive price cut owed to Crestline</t>
  </si>
  <si>
    <t>TravelHub MSA (C-024)</t>
  </si>
  <si>
    <t>-</t>
  </si>
  <si>
    <t>Wrong AtliQ entity; Al Noor hotel conflict</t>
  </si>
  <si>
    <t>Tax/invoicing mess; Al Noor breach</t>
  </si>
  <si>
    <t>Sunrise Foods SOW-2 (C-029)</t>
  </si>
  <si>
    <t>8 Oct</t>
  </si>
  <si>
    <t>Only looks risky: within standard</t>
  </si>
  <si>
    <t>Delay for nothing (fast-tracked)</t>
  </si>
  <si>
    <t>BlueOrchid Hotels pilot (C-027)</t>
  </si>
  <si>
    <t>5 Oct</t>
  </si>
  <si>
    <t>Al Noor conflict if Dubai/Muscat hotels are in scope</t>
  </si>
  <si>
    <t>Breach of Al Noor contract</t>
  </si>
  <si>
    <t>Of which carry a blocker-level risk (Harrington, Gulf Crown, Rheinwerk, Lakeshore, TravelHub, BlueOrchid)</t>
  </si>
  <si>
    <t>Al Noor contract that a missed conflict would breach</t>
  </si>
  <si>
    <t>Negotiation notes: '$185k, 14 properties, first Gulf logo'</t>
  </si>
  <si>
    <t>C. Yearly cost: without AI vs with ContractLens (today's 9 contracts a month)</t>
  </si>
  <si>
    <t>Cost line</t>
  </si>
  <si>
    <t>Without AI ($/yr)</t>
  </si>
  <si>
    <t>With ContractLens ($/yr)</t>
  </si>
  <si>
    <t>How it is calculated</t>
  </si>
  <si>
    <t>Saving ($/yr)</t>
  </si>
  <si>
    <t>contracts x 12 x hours x hourly value</t>
  </si>
  <si>
    <t>reviews a month x 12 x ₹1,20,000 / rate</t>
  </si>
  <si>
    <t>Expected cost of a Brightwater-type incident</t>
  </si>
  <si>
    <t>incidents a year x cost of one (risk-weighted)</t>
  </si>
  <si>
    <t>ContractLens model + hosting (scenario B)</t>
  </si>
  <si>
    <t>Way 1 yearly total, recommended models</t>
  </si>
  <si>
    <t>One-time cost to go live (engineering + playbook + archive load)</t>
  </si>
  <si>
    <t>Return on yearly running cost (saving / model + hosting)</t>
  </si>
  <si>
    <t>Atliq ContractLens: cost estimation inputs</t>
  </si>
  <si>
    <t>Blue = input you can change (yellow = key assumption to confirm). Black = formula. Every other sheet reads from here.</t>
  </si>
  <si>
    <t>VOLUME</t>
  </si>
  <si>
    <t>Contracts reviewed per month today</t>
  </si>
  <si>
    <t>PRD 2.3: volume went from 5 to 9 a month in one year.</t>
  </si>
  <si>
    <t>Contracts per month, target capacity</t>
  </si>
  <si>
    <t>PRD success metric: 9 to 15 a month without extra reviewers.</t>
  </si>
  <si>
    <t>Reviews per contract (first draft + revised drafts)</t>
  </si>
  <si>
    <t>Assumption: half of drafts come back once with the client's changes.</t>
  </si>
  <si>
    <t>New signed contracts per month (added to the register)</t>
  </si>
  <si>
    <t>Assumption: about two thirds of reviewed drafts are signed.</t>
  </si>
  <si>
    <t>Signed archive to load once (17 files + 13 the tracker lists)</t>
  </si>
  <si>
    <t>Dataset: 17 signed files; tracker lists 13 more signed with no file.</t>
  </si>
  <si>
    <t>Short signed documents per month (waivers, letters, amendments)</t>
  </si>
  <si>
    <t>Assumption.</t>
  </si>
  <si>
    <t>Assumption: Karandeep plus four sellers, about one question per working day each.</t>
  </si>
  <si>
    <t>TOKENS</t>
  </si>
  <si>
    <t>Tokens in a real incoming contract</t>
  </si>
  <si>
    <t>PRD 5: real contracts are 10,000 to 30,000 tokens. The synthetic drafts average about 2,900 (174,237 characters / 15 files / 4).</t>
  </si>
  <si>
    <t>Tokens in a real signed contract</t>
  </si>
  <si>
    <t>Assumption, same range as drafts. Synthetic signed files average about 2,250.</t>
  </si>
  <si>
    <t>Tokens in a short signed document</t>
  </si>
  <si>
    <t>Clause-scan part size (tokens)</t>
  </si>
  <si>
    <t>config.SCAN_CHARS = 14,000 characters, about 3,500 tokens per part.</t>
  </si>
  <si>
    <t>Clause-scan instructions + playbook per part (tokens)</t>
  </si>
  <si>
    <t>review_graph.py SCAN_SYSTEM plus the playbook rules for AtliQ's role.</t>
  </si>
  <si>
    <t>Clause-scan output per part (tokens)</t>
  </si>
  <si>
    <t>Average; capped at 2,000 (GROQ_MAX_TOKENS).</t>
  </si>
  <si>
    <t>Extraction input (first 15,000 characters + prompt)</t>
  </si>
  <si>
    <t>review_graph.extract reads text[:15000] (about 3,750 tokens) + 300 prompt.</t>
  </si>
  <si>
    <t>Extraction output (tokens)</t>
  </si>
  <si>
    <t>JSON fields; capped at 500.</t>
  </si>
  <si>
    <t>Share of reviews with a register hit (conflict check runs)</t>
  </si>
  <si>
    <t>Dataset: 6 of 15 drafts hit the register.</t>
  </si>
  <si>
    <t>Conflict-check input per review (tokens)</t>
  </si>
  <si>
    <t>Register entries + the draft passages most related to them.</t>
  </si>
  <si>
    <t>Conflict-check output per review (tokens)</t>
  </si>
  <si>
    <t>Register extraction prompt per signed document (tokens)</t>
  </si>
  <si>
    <t>register.PROPOSE_SYSTEM</t>
  </si>
  <si>
    <t>Register extraction output per signed document (tokens)</t>
  </si>
  <si>
    <t>capped at 1,500</t>
  </si>
  <si>
    <t>'Ask' input per question (6 retrieved clauses + prompt + history)</t>
  </si>
  <si>
    <t>TOP_K = 6 clause chunks</t>
  </si>
  <si>
    <t>'Ask' output per question (tokens)</t>
  </si>
  <si>
    <t>Retries and re-runs overhead</t>
  </si>
  <si>
    <t>Assumption: 20% extra calls for retries, re-runs and testing.</t>
  </si>
  <si>
    <t>INFRASTRUCTURE ($ per month)</t>
  </si>
  <si>
    <t>Vercel hosting, prototype (Hobby)</t>
  </si>
  <si>
    <t>Vercel Hobby is free but for non-commercial use.</t>
  </si>
  <si>
    <t>Vercel hosting, production (Pro, 1 seat)</t>
  </si>
  <si>
    <t>Vercel Pro list price per seat per month.</t>
  </si>
  <si>
    <t>Storage + logs + backups</t>
  </si>
  <si>
    <t>Assumption: reviews and audit log in a small managed database / blob store.</t>
  </si>
  <si>
    <t>BUSINESS ($)</t>
  </si>
  <si>
    <t>Rupees per US dollar</t>
  </si>
  <si>
    <t>Assumption, Oct 2026.</t>
  </si>
  <si>
    <t>Value of one hour of Karandeep's time ($)</t>
  </si>
  <si>
    <t>Assumption: CEO opportunity cost (selling, running AtliQ). Change to your own figure.</t>
  </si>
  <si>
    <t>Karandeep's hours per contract today</t>
  </si>
  <si>
    <t>PRD 2: 3 to 4 hours per contract.</t>
  </si>
  <si>
    <t>Karandeep's hours per contract with ContractLens</t>
  </si>
  <si>
    <t>Assumption: read the brief, decide each flag, send the outcome email.</t>
  </si>
  <si>
    <t>Outside counsel fee per complex review (₹)</t>
  </si>
  <si>
    <t>PRD 2.3: about ₹1,20,000 and 5 to 7 working days.</t>
  </si>
  <si>
    <t>Counsel reviews per month today</t>
  </si>
  <si>
    <t>Assumption: 'the big ones'.</t>
  </si>
  <si>
    <t>Counsel reviews per month with ContractLens</t>
  </si>
  <si>
    <t>Assumption: only blockers on a signed restriction, patient data or liability go to counsel, with a short brief.</t>
  </si>
  <si>
    <t>Brightwater-type incidents per year today</t>
  </si>
  <si>
    <t>Brightwater 2025-26: one contract signed with uncapped LD and English law.</t>
  </si>
  <si>
    <t>Reduction in such incidents with ContractLens</t>
  </si>
  <si>
    <t>Assumption: entity/law and LD checks are rules, not AI; 80% caught before signing.</t>
  </si>
  <si>
    <t>Senior hours lost per incident</t>
  </si>
  <si>
    <t>Brightwater post-mortem: about two weeks of senior time.</t>
  </si>
  <si>
    <t>One-time: engineering to harden the prototype (hours)</t>
  </si>
  <si>
    <t>Assumption: 4 weeks for login, storage, enterprise API, monitoring.</t>
  </si>
  <si>
    <t>One-time: engineering cost per hour ($)</t>
  </si>
  <si>
    <t>Assumption: AtliQ Pune engineer.</t>
  </si>
  <si>
    <t>One-time: Karandeep writes the playbook + answer key (hours)</t>
  </si>
  <si>
    <t>Deck ask: 2 hours for the playbook, about 4 for the answer key.</t>
  </si>
  <si>
    <t>MODEL PRICES ($ per 1 million tokens)</t>
  </si>
  <si>
    <t>Input</t>
  </si>
  <si>
    <t>Output</t>
  </si>
  <si>
    <t>Source / note</t>
  </si>
  <si>
    <t>groq.com/pricing (prototype model; check current price)</t>
  </si>
  <si>
    <t>groq.com/pricing (fast tier option)</t>
  </si>
  <si>
    <t>Anthropic API list price, Oct 2026; enterprise zero-retention option</t>
  </si>
  <si>
    <t>Anthropic API list price, prompts up to 100K tokens</t>
  </si>
  <si>
    <t>Anthropic API list price, Oct 2026</t>
  </si>
  <si>
    <t>SCENARIOS (pick models; prices are looked up)</t>
  </si>
  <si>
    <t>Scenario</t>
  </si>
  <si>
    <t>Main model (clause scan, conflicts, Ask, register)</t>
  </si>
  <si>
    <t>Fast model (extraction)</t>
  </si>
  <si>
    <t>Why</t>
  </si>
  <si>
    <t>A. Prototype (today)</t>
  </si>
  <si>
    <t>Free tier on the synthetic dataset; not for confidential contracts.</t>
  </si>
  <si>
    <t>B. Recommended production</t>
  </si>
  <si>
    <t>Enterprise API, no training on data, long context, strong citations.</t>
  </si>
  <si>
    <t>C. Premium (max quality)</t>
  </si>
  <si>
    <t>Upper bound for the business case.</t>
  </si>
  <si>
    <t>Looked-up prices per scenario ($ / 1M tokens)</t>
  </si>
  <si>
    <t>Main in</t>
  </si>
  <si>
    <t>Main out</t>
  </si>
  <si>
    <t>Fast in</t>
  </si>
  <si>
    <t>Fast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</si>
</sst>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\$#,##0.0000;&quot;($&quot;#,##0.0000\);\-"/>
    <numFmt numFmtId="165" formatCode="\$#,##0.00;&quot;($&quot;#,##0.00\);\-"/>
    <numFmt numFmtId="166" formatCode="\$#,##0;&quot;($&quot;#,##0\);\-"/>
    <numFmt numFmtId="167" formatCode="0.0"/>
    <numFmt numFmtId="168" formatCode="#,##0\x"/>
    <numFmt numFmtId="169" formatCode="[$$-409]#,##0.00"/>
    <numFmt numFmtId="170" formatCode="[$$-409]#,##0.0000"/>
    <numFmt numFmtId="171" formatCode="_(\₹* #,##0.00_);_(\₹* \(#,##0.00\);_(\₹* \-??_);_(@_)"/>
    <numFmt numFmtId="172" formatCode="_([$$-409]* #,##0.00_);_([$$-409]* \(#,##0.00\);_([$$-409]* \-??_);_(@_)"/>
    <numFmt numFmtId="173" formatCode="#,##0.0"/>
    <numFmt numFmtId="174" formatCode="#,##0;\(#,##0\);\-"/>
    <numFmt numFmtId="175" formatCode="0.00\x"/>
    <numFmt numFmtId="176" formatCode="0.0%;\(0.0%\);\-"/>
    <numFmt numFmtId="177" formatCode="\₹#,##0"/>
    <numFmt numFmtId="178" formatCode="\$0.00"/>
  </numFmts>
  <fonts count="25" x14ac:knownFonts="1">
    <font>
      <sz val="14"/>
      <color theme="1"/>
      <name val="Calibri"/>
      <family val="2"/>
      <charset val="1"/>
    </font>
    <font>
      <b/>
      <sz val="14"/>
      <color rgb="FF14233C"/>
      <name val="Arial"/>
      <charset val="1"/>
    </font>
    <font>
      <sz val="14"/>
      <color theme="1"/>
      <name val="Arial"/>
      <charset val="1"/>
    </font>
    <font>
      <i/>
      <sz val="11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b/>
      <sz val="11"/>
      <name val="Arial"/>
      <charset val="1"/>
    </font>
    <font>
      <b/>
      <sz val="11"/>
      <color rgb="FF008000"/>
      <name val="Arial"/>
      <charset val="1"/>
    </font>
    <font>
      <i/>
      <sz val="9"/>
      <color rgb="FF5B6778"/>
      <name val="Arial"/>
      <charset val="1"/>
    </font>
    <font>
      <b/>
      <sz val="14"/>
      <color theme="1"/>
      <name val="Calibri"/>
      <family val="2"/>
      <charset val="1"/>
    </font>
    <font>
      <sz val="14"/>
      <color rgb="FF008000"/>
      <name val="Calibri"/>
      <charset val="1"/>
    </font>
    <font>
      <b/>
      <sz val="14"/>
      <name val="Calibri"/>
      <charset val="1"/>
    </font>
    <font>
      <sz val="12"/>
      <name val="Calibri"/>
      <charset val="1"/>
    </font>
    <font>
      <sz val="12"/>
      <color rgb="FF008000"/>
      <name val="Calibri"/>
      <charset val="1"/>
    </font>
    <font>
      <sz val="14"/>
      <color rgb="FF0000FF"/>
      <name val="Calibri"/>
      <charset val="1"/>
    </font>
    <font>
      <i/>
      <sz val="11"/>
      <color rgb="FF5B6778"/>
      <name val="Calibri"/>
      <charset val="1"/>
    </font>
    <font>
      <b/>
      <sz val="18"/>
      <color theme="1"/>
      <name val="Calibri"/>
      <family val="2"/>
      <charset val="1"/>
    </font>
    <font>
      <b/>
      <sz val="14"/>
      <color theme="0"/>
      <name val="Calibri"/>
      <family val="2"/>
      <charset val="1"/>
    </font>
    <font>
      <sz val="14"/>
      <name val="Calibri"/>
      <charset val="1"/>
    </font>
    <font>
      <sz val="11"/>
      <name val="Arial"/>
      <charset val="1"/>
    </font>
    <font>
      <sz val="11"/>
      <color rgb="FF0000FF"/>
      <name val="Arial"/>
      <charset val="1"/>
    </font>
    <font>
      <sz val="9"/>
      <color rgb="FF5B6778"/>
      <name val="Arial"/>
      <charset val="1"/>
    </font>
    <font>
      <sz val="10"/>
      <name val="Arial"/>
      <family val="2"/>
    </font>
    <font>
      <sz val="9"/>
      <name val="Arial"/>
      <charset val="1"/>
    </font>
    <font>
      <sz val="14"/>
      <color theme="1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14233C"/>
        <bgColor rgb="FF003366"/>
      </patternFill>
    </fill>
    <fill>
      <patternFill patternType="solid">
        <fgColor rgb="FFE8ECF3"/>
        <bgColor rgb="FFFFFFFF"/>
      </patternFill>
    </fill>
    <fill>
      <patternFill patternType="solid">
        <fgColor theme="4" tint="0.59987182226020086"/>
        <bgColor rgb="FFC9D3E3"/>
      </patternFill>
    </fill>
    <fill>
      <patternFill patternType="solid">
        <fgColor theme="4" tint="-0.249977111117893"/>
        <bgColor rgb="FF4472C4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rgb="FF2F5597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4472C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theme="4"/>
      </top>
      <bottom style="medium">
        <color auto="1"/>
      </bottom>
      <diagonal/>
    </border>
    <border>
      <left style="thin">
        <color theme="4"/>
      </left>
      <right style="medium">
        <color auto="1"/>
      </right>
      <top style="thin">
        <color theme="4"/>
      </top>
      <bottom style="medium">
        <color auto="1"/>
      </bottom>
      <diagonal/>
    </border>
    <border>
      <left style="medium">
        <color auto="1"/>
      </left>
      <right/>
      <top style="thin">
        <color theme="4"/>
      </top>
      <bottom/>
      <diagonal/>
    </border>
    <border>
      <left/>
      <right style="medium">
        <color auto="1"/>
      </right>
      <top style="thin">
        <color theme="4"/>
      </top>
      <bottom/>
      <diagonal/>
    </border>
    <border>
      <left style="thin">
        <color theme="4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C9D3E3"/>
      </left>
      <right style="thin">
        <color rgb="FFC9D3E3"/>
      </right>
      <top style="thin">
        <color rgb="FFC9D3E3"/>
      </top>
      <bottom style="thin">
        <color rgb="FFC9D3E3"/>
      </bottom>
      <diagonal/>
    </border>
  </borders>
  <cellStyleXfs count="3">
    <xf numFmtId="0" fontId="0" fillId="0" borderId="0"/>
    <xf numFmtId="171" fontId="24" fillId="0" borderId="0"/>
    <xf numFmtId="9" fontId="24" fillId="0" borderId="0"/>
  </cellStyleXfs>
  <cellXfs count="133">
    <xf numFmtId="0" fontId="0" fillId="0" borderId="0" xfId="0"/>
    <xf numFmtId="0" fontId="17" fillId="5" borderId="0" xfId="0" applyFont="1" applyFill="1" applyAlignment="1">
      <alignment horizontal="center" vertical="center" wrapText="1"/>
    </xf>
    <xf numFmtId="0" fontId="17" fillId="5" borderId="0" xfId="0" applyFont="1" applyFill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6" fillId="3" borderId="0" xfId="0" applyFont="1" applyFill="1"/>
    <xf numFmtId="166" fontId="7" fillId="3" borderId="0" xfId="0" applyNumberFormat="1" applyFont="1" applyFill="1"/>
    <xf numFmtId="167" fontId="5" fillId="0" borderId="0" xfId="0" applyNumberFormat="1" applyFont="1"/>
    <xf numFmtId="168" fontId="5" fillId="0" borderId="0" xfId="0" applyNumberFormat="1" applyFont="1"/>
    <xf numFmtId="0" fontId="8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3" fontId="10" fillId="0" borderId="3" xfId="0" applyNumberFormat="1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9" fontId="10" fillId="0" borderId="8" xfId="0" applyNumberFormat="1" applyFont="1" applyBorder="1" applyAlignment="1">
      <alignment horizontal="center" vertical="center"/>
    </xf>
    <xf numFmtId="170" fontId="0" fillId="0" borderId="8" xfId="0" applyNumberFormat="1" applyBorder="1" applyAlignment="1">
      <alignment horizontal="center" vertical="center"/>
    </xf>
    <xf numFmtId="169" fontId="0" fillId="0" borderId="9" xfId="0" applyNumberForma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169" fontId="11" fillId="0" borderId="9" xfId="0" applyNumberFormat="1" applyFont="1" applyBorder="1" applyAlignment="1">
      <alignment horizontal="center" vertical="center"/>
    </xf>
    <xf numFmtId="0" fontId="11" fillId="0" borderId="0" xfId="0" applyFont="1"/>
    <xf numFmtId="2" fontId="10" fillId="0" borderId="3" xfId="0" applyNumberFormat="1" applyFont="1" applyBorder="1" applyAlignment="1">
      <alignment horizontal="center" vertical="center"/>
    </xf>
    <xf numFmtId="0" fontId="12" fillId="0" borderId="0" xfId="0" applyFont="1"/>
    <xf numFmtId="169" fontId="13" fillId="0" borderId="0" xfId="0" applyNumberFormat="1" applyFont="1"/>
    <xf numFmtId="0" fontId="14" fillId="0" borderId="3" xfId="0" applyFont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167" fontId="9" fillId="4" borderId="11" xfId="0" applyNumberFormat="1" applyFont="1" applyFill="1" applyBorder="1" applyAlignment="1">
      <alignment horizontal="center" vertical="center"/>
    </xf>
    <xf numFmtId="169" fontId="11" fillId="0" borderId="0" xfId="0" applyNumberFormat="1" applyFont="1"/>
    <xf numFmtId="0" fontId="15" fillId="0" borderId="0" xfId="0" applyFont="1"/>
    <xf numFmtId="0" fontId="16" fillId="4" borderId="12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3" fontId="10" fillId="0" borderId="16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3" fontId="10" fillId="0" borderId="16" xfId="0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wrapText="1"/>
    </xf>
    <xf numFmtId="3" fontId="14" fillId="0" borderId="16" xfId="0" applyNumberFormat="1" applyFon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/>
    </xf>
    <xf numFmtId="0" fontId="9" fillId="4" borderId="17" xfId="0" applyFont="1" applyFill="1" applyBorder="1" applyAlignment="1">
      <alignment horizontal="center" vertical="center"/>
    </xf>
    <xf numFmtId="3" fontId="9" fillId="4" borderId="18" xfId="0" applyNumberFormat="1" applyFont="1" applyFill="1" applyBorder="1" applyAlignment="1">
      <alignment horizontal="center" vertical="center"/>
    </xf>
    <xf numFmtId="169" fontId="14" fillId="6" borderId="16" xfId="0" applyNumberFormat="1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170" fontId="9" fillId="4" borderId="20" xfId="0" applyNumberFormat="1" applyFont="1" applyFill="1" applyBorder="1" applyAlignment="1">
      <alignment horizontal="center" vertical="center"/>
    </xf>
    <xf numFmtId="3" fontId="14" fillId="0" borderId="3" xfId="0" applyNumberFormat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69" fontId="0" fillId="0" borderId="22" xfId="0" applyNumberFormat="1" applyBorder="1" applyAlignment="1">
      <alignment horizontal="center" vertical="center"/>
    </xf>
    <xf numFmtId="0" fontId="9" fillId="4" borderId="19" xfId="0" applyFont="1" applyFill="1" applyBorder="1" applyAlignment="1">
      <alignment vertical="center"/>
    </xf>
    <xf numFmtId="0" fontId="17" fillId="7" borderId="12" xfId="0" applyFont="1" applyFill="1" applyBorder="1" applyAlignment="1">
      <alignment horizontal="center" vertical="center"/>
    </xf>
    <xf numFmtId="170" fontId="17" fillId="7" borderId="23" xfId="0" applyNumberFormat="1" applyFont="1" applyFill="1" applyBorder="1" applyAlignment="1">
      <alignment horizontal="center" vertical="center"/>
    </xf>
    <xf numFmtId="0" fontId="17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2" fontId="10" fillId="0" borderId="9" xfId="1" applyNumberFormat="1" applyFont="1" applyBorder="1" applyAlignment="1">
      <alignment horizontal="center" vertical="center"/>
    </xf>
    <xf numFmtId="172" fontId="10" fillId="0" borderId="9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172" fontId="10" fillId="0" borderId="25" xfId="0" applyNumberFormat="1" applyFont="1" applyBorder="1" applyAlignment="1">
      <alignment horizontal="center" vertical="center"/>
    </xf>
    <xf numFmtId="172" fontId="17" fillId="5" borderId="0" xfId="0" applyNumberFormat="1" applyFont="1" applyFill="1" applyAlignment="1">
      <alignment horizontal="center" vertical="center"/>
    </xf>
    <xf numFmtId="0" fontId="0" fillId="0" borderId="7" xfId="0" applyBorder="1"/>
    <xf numFmtId="172" fontId="10" fillId="0" borderId="9" xfId="0" applyNumberFormat="1" applyFont="1" applyBorder="1"/>
    <xf numFmtId="0" fontId="0" fillId="0" borderId="24" xfId="0" applyBorder="1"/>
    <xf numFmtId="172" fontId="10" fillId="0" borderId="25" xfId="0" applyNumberFormat="1" applyFont="1" applyBorder="1"/>
    <xf numFmtId="0" fontId="18" fillId="0" borderId="0" xfId="0" applyFont="1" applyAlignment="1">
      <alignment horizontal="center" vertical="center"/>
    </xf>
    <xf numFmtId="172" fontId="17" fillId="5" borderId="0" xfId="2" applyNumberFormat="1" applyFont="1" applyFill="1" applyAlignment="1">
      <alignment horizontal="center" vertical="center"/>
    </xf>
    <xf numFmtId="0" fontId="17" fillId="5" borderId="0" xfId="0" applyFont="1" applyFill="1"/>
    <xf numFmtId="172" fontId="17" fillId="5" borderId="0" xfId="0" applyNumberFormat="1" applyFont="1" applyFill="1"/>
    <xf numFmtId="0" fontId="19" fillId="0" borderId="26" xfId="0" applyFont="1" applyBorder="1"/>
    <xf numFmtId="173" fontId="20" fillId="0" borderId="26" xfId="0" applyNumberFormat="1" applyFont="1" applyBorder="1"/>
    <xf numFmtId="174" fontId="20" fillId="0" borderId="26" xfId="0" applyNumberFormat="1" applyFont="1" applyBorder="1"/>
    <xf numFmtId="174" fontId="2" fillId="0" borderId="26" xfId="0" applyNumberFormat="1" applyFont="1" applyBorder="1"/>
    <xf numFmtId="164" fontId="2" fillId="0" borderId="26" xfId="0" applyNumberFormat="1" applyFont="1" applyBorder="1"/>
    <xf numFmtId="174" fontId="5" fillId="0" borderId="26" xfId="0" applyNumberFormat="1" applyFont="1" applyBorder="1"/>
    <xf numFmtId="173" fontId="5" fillId="0" borderId="26" xfId="0" applyNumberFormat="1" applyFont="1" applyBorder="1"/>
    <xf numFmtId="174" fontId="6" fillId="3" borderId="0" xfId="0" applyNumberFormat="1" applyFont="1" applyFill="1"/>
    <xf numFmtId="164" fontId="6" fillId="3" borderId="0" xfId="0" applyNumberFormat="1" applyFont="1" applyFill="1"/>
    <xf numFmtId="173" fontId="2" fillId="0" borderId="0" xfId="0" applyNumberFormat="1" applyFont="1"/>
    <xf numFmtId="165" fontId="2" fillId="0" borderId="0" xfId="0" applyNumberFormat="1" applyFont="1"/>
    <xf numFmtId="0" fontId="6" fillId="0" borderId="0" xfId="0" applyFont="1"/>
    <xf numFmtId="165" fontId="6" fillId="3" borderId="0" xfId="0" applyNumberFormat="1" applyFont="1" applyFill="1"/>
    <xf numFmtId="166" fontId="6" fillId="3" borderId="0" xfId="0" applyNumberFormat="1" applyFont="1" applyFill="1"/>
    <xf numFmtId="2" fontId="20" fillId="0" borderId="26" xfId="0" applyNumberFormat="1" applyFont="1" applyBorder="1"/>
    <xf numFmtId="165" fontId="2" fillId="0" borderId="26" xfId="0" applyNumberFormat="1" applyFont="1" applyBorder="1"/>
    <xf numFmtId="174" fontId="19" fillId="0" borderId="26" xfId="0" applyNumberFormat="1" applyFont="1" applyBorder="1"/>
    <xf numFmtId="174" fontId="2" fillId="0" borderId="0" xfId="0" applyNumberFormat="1" applyFont="1"/>
    <xf numFmtId="175" fontId="2" fillId="0" borderId="0" xfId="0" applyNumberFormat="1" applyFont="1"/>
    <xf numFmtId="0" fontId="21" fillId="0" borderId="0" xfId="0" applyFont="1"/>
    <xf numFmtId="0" fontId="2" fillId="0" borderId="26" xfId="0" applyFont="1" applyBorder="1"/>
    <xf numFmtId="166" fontId="20" fillId="0" borderId="26" xfId="0" applyNumberFormat="1" applyFont="1" applyBorder="1"/>
    <xf numFmtId="0" fontId="21" fillId="0" borderId="26" xfId="0" applyFont="1" applyBorder="1"/>
    <xf numFmtId="0" fontId="23" fillId="0" borderId="26" xfId="0" applyFont="1" applyBorder="1"/>
    <xf numFmtId="166" fontId="5" fillId="0" borderId="26" xfId="0" applyNumberFormat="1" applyFont="1" applyBorder="1"/>
    <xf numFmtId="0" fontId="2" fillId="0" borderId="26" xfId="0" applyFont="1" applyBorder="1" applyAlignment="1">
      <alignment vertical="top" wrapText="1"/>
    </xf>
    <xf numFmtId="166" fontId="20" fillId="0" borderId="26" xfId="0" applyNumberFormat="1" applyFont="1" applyBorder="1" applyAlignment="1">
      <alignment vertical="top" wrapText="1"/>
    </xf>
    <xf numFmtId="0" fontId="23" fillId="0" borderId="26" xfId="0" applyFont="1" applyBorder="1" applyAlignment="1">
      <alignment vertical="top" wrapText="1"/>
    </xf>
    <xf numFmtId="166" fontId="2" fillId="0" borderId="0" xfId="0" applyNumberFormat="1" applyFont="1"/>
    <xf numFmtId="166" fontId="20" fillId="0" borderId="0" xfId="0" applyNumberFormat="1" applyFont="1"/>
    <xf numFmtId="166" fontId="2" fillId="0" borderId="26" xfId="0" applyNumberFormat="1" applyFont="1" applyBorder="1"/>
    <xf numFmtId="167" fontId="2" fillId="0" borderId="0" xfId="0" applyNumberFormat="1" applyFont="1"/>
    <xf numFmtId="168" fontId="2" fillId="0" borderId="0" xfId="0" applyNumberFormat="1" applyFont="1"/>
    <xf numFmtId="0" fontId="19" fillId="0" borderId="0" xfId="0" applyFont="1"/>
    <xf numFmtId="174" fontId="20" fillId="0" borderId="0" xfId="0" applyNumberFormat="1" applyFont="1"/>
    <xf numFmtId="167" fontId="20" fillId="0" borderId="0" xfId="0" applyNumberFormat="1" applyFont="1"/>
    <xf numFmtId="174" fontId="20" fillId="6" borderId="0" xfId="0" applyNumberFormat="1" applyFont="1" applyFill="1"/>
    <xf numFmtId="176" fontId="20" fillId="0" borderId="0" xfId="0" applyNumberFormat="1" applyFont="1"/>
    <xf numFmtId="166" fontId="20" fillId="6" borderId="0" xfId="0" applyNumberFormat="1" applyFont="1" applyFill="1"/>
    <xf numFmtId="167" fontId="20" fillId="6" borderId="0" xfId="0" applyNumberFormat="1" applyFont="1" applyFill="1"/>
    <xf numFmtId="177" fontId="20" fillId="0" borderId="0" xfId="0" applyNumberFormat="1" applyFont="1"/>
    <xf numFmtId="176" fontId="20" fillId="6" borderId="0" xfId="0" applyNumberFormat="1" applyFont="1" applyFill="1"/>
    <xf numFmtId="178" fontId="20" fillId="0" borderId="0" xfId="0" applyNumberFormat="1" applyFont="1"/>
    <xf numFmtId="0" fontId="20" fillId="0" borderId="0" xfId="0" applyFont="1"/>
    <xf numFmtId="178" fontId="2" fillId="0" borderId="0" xfId="0" applyNumberFormat="1" applyFont="1"/>
    <xf numFmtId="170" fontId="10" fillId="8" borderId="9" xfId="0" applyNumberFormat="1" applyFont="1" applyFill="1" applyBorder="1" applyAlignment="1">
      <alignment horizontal="center" vertical="center"/>
    </xf>
    <xf numFmtId="167" fontId="0" fillId="9" borderId="0" xfId="0" applyNumberFormat="1" applyFill="1" applyAlignment="1">
      <alignment horizontal="center" vertical="center"/>
    </xf>
    <xf numFmtId="167" fontId="10" fillId="10" borderId="0" xfId="0" applyNumberFormat="1" applyFont="1" applyFill="1" applyAlignment="1">
      <alignment horizontal="center" vertical="center"/>
    </xf>
    <xf numFmtId="167" fontId="0" fillId="11" borderId="0" xfId="0" applyNumberFormat="1" applyFill="1" applyAlignment="1">
      <alignment horizontal="center" vertical="center"/>
    </xf>
    <xf numFmtId="9" fontId="17" fillId="12" borderId="0" xfId="0" applyNumberFormat="1" applyFont="1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E8ECF3"/>
      <rgbColor rgb="FF660066"/>
      <rgbColor rgb="FFFF8080"/>
      <rgbColor rgb="FF0066CC"/>
      <rgbColor rgb="FFC9D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B6778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14233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7000000}" name="Table10" displayName="Table10" ref="D23:E29" totalsRowShown="0">
  <autoFilter ref="D23:E29" xr:uid="{00000000-0009-0000-0100-000002000000}"/>
  <tableColumns count="2">
    <tableColumn id="1" xr3:uid="{00000000-0010-0000-0700-000001000000}" name="Component"/>
    <tableColumn id="2" xr3:uid="{00000000-0010-0000-0700-000002000000}" name="Cos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8" displayName="Table8" ref="D4:E10" totalsRowShown="0">
  <autoFilter ref="D4:E10" xr:uid="{00000000-0009-0000-0100-000009000000}"/>
  <tableColumns count="2">
    <tableColumn id="1" xr3:uid="{00000000-0010-0000-0800-000001000000}" name="Component"/>
    <tableColumn id="2" xr3:uid="{00000000-0010-0000-0800-000002000000}" name="Quantity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" displayName="Table9" ref="D14:E17" totalsRowShown="0">
  <autoFilter ref="D14:E17" xr:uid="{00000000-0009-0000-0100-00000A000000}"/>
  <tableColumns count="2">
    <tableColumn id="1" xr3:uid="{00000000-0010-0000-0900-000001000000}" name="Component"/>
    <tableColumn id="2" xr3:uid="{00000000-0010-0000-0900-000002000000}" name="Cos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C16" totalsRowShown="0">
  <autoFilter ref="B5:C16" xr:uid="{00000000-0009-0000-0100-000001000000}"/>
  <tableColumns count="2">
    <tableColumn id="1" xr3:uid="{00000000-0010-0000-0000-000001000000}" name="Description"/>
    <tableColumn id="2" xr3:uid="{00000000-0010-0000-0000-000002000000}" name="Quantity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2" displayName="Table2" ref="E5:K11" totalsRowShown="0">
  <autoFilter ref="E5:K11" xr:uid="{00000000-0009-0000-0100-000003000000}"/>
  <tableColumns count="7">
    <tableColumn id="1" xr3:uid="{00000000-0010-0000-0100-000001000000}" name="Model Name"/>
    <tableColumn id="2" xr3:uid="{00000000-0010-0000-0100-000002000000}" name="Input cost($) per 1M token"/>
    <tableColumn id="3" xr3:uid="{00000000-0010-0000-0100-000003000000}" name="Output cost($) per 1M token"/>
    <tableColumn id="4" xr3:uid="{00000000-0010-0000-0100-000004000000}" name="Cost per input Query($)"/>
    <tableColumn id="5" xr3:uid="{00000000-0010-0000-0100-000005000000}" name="Cost per output query Query($)"/>
    <tableColumn id="6" xr3:uid="{00000000-0010-0000-0100-000006000000}" name="Total Cost per query"/>
    <tableColumn id="7" xr3:uid="{00000000-0010-0000-0100-000007000000}" name="Total cost per month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3" displayName="Table3" ref="C6:D10" totalsRowShown="0">
  <autoFilter ref="C6:D10" xr:uid="{00000000-0009-0000-0100-000004000000}"/>
  <tableColumns count="2">
    <tableColumn id="1" xr3:uid="{00000000-0010-0000-0200-000001000000}" name="Component"/>
    <tableColumn id="2" xr3:uid="{00000000-0010-0000-0200-000002000000}" name="Quantity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4" displayName="Table4" ref="F6:G10" totalsRowShown="0">
  <autoFilter ref="F6:G10" xr:uid="{00000000-0009-0000-0100-000005000000}"/>
  <tableColumns count="2">
    <tableColumn id="1" xr3:uid="{00000000-0010-0000-0300-000001000000}" name="Component"/>
    <tableColumn id="2" xr3:uid="{00000000-0010-0000-0300-000002000000}" name="Quantity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4000000}" name="Table5" displayName="Table5" ref="I6:J10" totalsRowShown="0">
  <autoFilter ref="I6:J10" xr:uid="{00000000-0009-0000-0100-000006000000}"/>
  <tableColumns count="2">
    <tableColumn id="1" xr3:uid="{00000000-0010-0000-0400-000001000000}" name="Component"/>
    <tableColumn id="2" xr3:uid="{00000000-0010-0000-0400-000002000000}" name="Quantity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Table6" displayName="Table6" ref="C14:D17" totalsRowShown="0">
  <autoFilter ref="C14:D17" xr:uid="{00000000-0009-0000-0100-000007000000}"/>
  <tableColumns count="2">
    <tableColumn id="1" xr3:uid="{00000000-0010-0000-0500-000001000000}" name="Component"/>
    <tableColumn id="2" xr3:uid="{00000000-0010-0000-0500-000002000000}" name="Cost/Quantity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7" displayName="Table7" ref="C21:D26" totalsRowShown="0">
  <autoFilter ref="C21:D26" xr:uid="{00000000-0009-0000-0100-000008000000}"/>
  <tableColumns count="2">
    <tableColumn id="1" xr3:uid="{00000000-0010-0000-0600-000001000000}" name="Component"/>
    <tableColumn id="2" xr3:uid="{00000000-0010-0000-0600-000002000000}" name="Cost/Quantit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showGridLines="0" zoomScaleNormal="100" workbookViewId="0">
      <selection activeCell="A13" sqref="A13"/>
    </sheetView>
  </sheetViews>
  <sheetFormatPr defaultColWidth="8.5" defaultRowHeight="18" x14ac:dyDescent="0.35"/>
  <cols>
    <col min="1" max="1" width="46" customWidth="1"/>
    <col min="2" max="3" width="16" customWidth="1"/>
    <col min="4" max="4" width="70" customWidth="1"/>
    <col min="5" max="5" width="12" customWidth="1"/>
  </cols>
  <sheetData>
    <row r="1" spans="1:5" x14ac:dyDescent="0.35">
      <c r="A1" s="7" t="s">
        <v>266</v>
      </c>
      <c r="B1" s="8"/>
      <c r="C1" s="8"/>
      <c r="D1" s="8"/>
      <c r="E1" s="8"/>
    </row>
    <row r="2" spans="1:5" x14ac:dyDescent="0.35">
      <c r="A2" s="9" t="s">
        <v>267</v>
      </c>
      <c r="B2" s="8"/>
      <c r="C2" s="8"/>
      <c r="D2" s="8"/>
      <c r="E2" s="8"/>
    </row>
    <row r="3" spans="1:5" x14ac:dyDescent="0.35">
      <c r="A3" s="8"/>
      <c r="B3" s="8"/>
      <c r="C3" s="8"/>
      <c r="D3" s="8"/>
      <c r="E3" s="8"/>
    </row>
    <row r="4" spans="1:5" x14ac:dyDescent="0.35">
      <c r="A4" s="94" t="s">
        <v>268</v>
      </c>
      <c r="B4" s="8"/>
      <c r="C4" s="8"/>
      <c r="D4" s="8"/>
      <c r="E4" s="8"/>
    </row>
    <row r="5" spans="1:5" x14ac:dyDescent="0.35">
      <c r="A5" s="116" t="s">
        <v>269</v>
      </c>
      <c r="B5" s="117">
        <v>9</v>
      </c>
      <c r="C5" s="8"/>
      <c r="D5" s="102" t="s">
        <v>270</v>
      </c>
      <c r="E5" s="8"/>
    </row>
    <row r="6" spans="1:5" x14ac:dyDescent="0.35">
      <c r="A6" s="116" t="s">
        <v>271</v>
      </c>
      <c r="B6" s="117">
        <v>15</v>
      </c>
      <c r="C6" s="8"/>
      <c r="D6" s="102" t="s">
        <v>272</v>
      </c>
      <c r="E6" s="8"/>
    </row>
    <row r="7" spans="1:5" x14ac:dyDescent="0.35">
      <c r="A7" s="116" t="s">
        <v>273</v>
      </c>
      <c r="B7" s="118">
        <v>1.5</v>
      </c>
      <c r="C7" s="8"/>
      <c r="D7" s="102" t="s">
        <v>274</v>
      </c>
      <c r="E7" s="8"/>
    </row>
    <row r="8" spans="1:5" x14ac:dyDescent="0.35">
      <c r="A8" s="116" t="s">
        <v>275</v>
      </c>
      <c r="B8" s="117">
        <v>6</v>
      </c>
      <c r="C8" s="8"/>
      <c r="D8" s="102" t="s">
        <v>276</v>
      </c>
      <c r="E8" s="8"/>
    </row>
    <row r="9" spans="1:5" x14ac:dyDescent="0.35">
      <c r="A9" s="116" t="s">
        <v>277</v>
      </c>
      <c r="B9" s="117">
        <v>30</v>
      </c>
      <c r="C9" s="8"/>
      <c r="D9" s="102" t="s">
        <v>278</v>
      </c>
      <c r="E9" s="8"/>
    </row>
    <row r="10" spans="1:5" x14ac:dyDescent="0.35">
      <c r="A10" s="116" t="s">
        <v>279</v>
      </c>
      <c r="B10" s="117">
        <v>2</v>
      </c>
      <c r="C10" s="8"/>
      <c r="D10" s="102" t="s">
        <v>280</v>
      </c>
      <c r="E10" s="8"/>
    </row>
    <row r="11" spans="1:5" x14ac:dyDescent="0.35">
      <c r="A11" s="116" t="s">
        <v>90</v>
      </c>
      <c r="B11" s="117">
        <v>80</v>
      </c>
      <c r="C11" s="8"/>
      <c r="D11" s="102" t="s">
        <v>281</v>
      </c>
      <c r="E11" s="8"/>
    </row>
    <row r="12" spans="1:5" x14ac:dyDescent="0.35">
      <c r="A12" s="94" t="s">
        <v>282</v>
      </c>
      <c r="B12" s="8"/>
      <c r="C12" s="8"/>
      <c r="D12" s="8"/>
      <c r="E12" s="8"/>
    </row>
    <row r="13" spans="1:5" x14ac:dyDescent="0.35">
      <c r="A13" s="116" t="s">
        <v>283</v>
      </c>
      <c r="B13" s="119">
        <v>15000</v>
      </c>
      <c r="C13" s="8"/>
      <c r="D13" s="102" t="s">
        <v>284</v>
      </c>
      <c r="E13" s="8"/>
    </row>
    <row r="14" spans="1:5" x14ac:dyDescent="0.35">
      <c r="A14" s="116" t="s">
        <v>285</v>
      </c>
      <c r="B14" s="117">
        <v>15000</v>
      </c>
      <c r="C14" s="8"/>
      <c r="D14" s="102" t="s">
        <v>286</v>
      </c>
      <c r="E14" s="8"/>
    </row>
    <row r="15" spans="1:5" x14ac:dyDescent="0.35">
      <c r="A15" s="116" t="s">
        <v>287</v>
      </c>
      <c r="B15" s="117">
        <v>3000</v>
      </c>
      <c r="C15" s="8"/>
      <c r="D15" s="102" t="s">
        <v>280</v>
      </c>
      <c r="E15" s="8"/>
    </row>
    <row r="16" spans="1:5" x14ac:dyDescent="0.35">
      <c r="A16" s="116" t="s">
        <v>288</v>
      </c>
      <c r="B16" s="117">
        <v>3500</v>
      </c>
      <c r="C16" s="8"/>
      <c r="D16" s="102" t="s">
        <v>289</v>
      </c>
      <c r="E16" s="8"/>
    </row>
    <row r="17" spans="1:5" x14ac:dyDescent="0.35">
      <c r="A17" s="116" t="s">
        <v>290</v>
      </c>
      <c r="B17" s="117">
        <v>1500</v>
      </c>
      <c r="C17" s="8"/>
      <c r="D17" s="102" t="s">
        <v>291</v>
      </c>
      <c r="E17" s="8"/>
    </row>
    <row r="18" spans="1:5" x14ac:dyDescent="0.35">
      <c r="A18" s="116" t="s">
        <v>292</v>
      </c>
      <c r="B18" s="117">
        <v>800</v>
      </c>
      <c r="C18" s="8"/>
      <c r="D18" s="102" t="s">
        <v>293</v>
      </c>
      <c r="E18" s="8"/>
    </row>
    <row r="19" spans="1:5" x14ac:dyDescent="0.35">
      <c r="A19" s="116" t="s">
        <v>294</v>
      </c>
      <c r="B19" s="117">
        <v>4050</v>
      </c>
      <c r="C19" s="8"/>
      <c r="D19" s="102" t="s">
        <v>295</v>
      </c>
      <c r="E19" s="8"/>
    </row>
    <row r="20" spans="1:5" x14ac:dyDescent="0.35">
      <c r="A20" s="116" t="s">
        <v>296</v>
      </c>
      <c r="B20" s="117">
        <v>300</v>
      </c>
      <c r="C20" s="8"/>
      <c r="D20" s="102" t="s">
        <v>297</v>
      </c>
      <c r="E20" s="8"/>
    </row>
    <row r="21" spans="1:5" x14ac:dyDescent="0.35">
      <c r="A21" s="116" t="s">
        <v>298</v>
      </c>
      <c r="B21" s="120">
        <v>0.4</v>
      </c>
      <c r="C21" s="8"/>
      <c r="D21" s="102" t="s">
        <v>299</v>
      </c>
      <c r="E21" s="8"/>
    </row>
    <row r="22" spans="1:5" x14ac:dyDescent="0.35">
      <c r="A22" s="116" t="s">
        <v>300</v>
      </c>
      <c r="B22" s="117">
        <v>3000</v>
      </c>
      <c r="C22" s="8"/>
      <c r="D22" s="102" t="s">
        <v>301</v>
      </c>
      <c r="E22" s="8"/>
    </row>
    <row r="23" spans="1:5" x14ac:dyDescent="0.35">
      <c r="A23" s="116" t="s">
        <v>302</v>
      </c>
      <c r="B23" s="117">
        <v>600</v>
      </c>
      <c r="C23" s="8"/>
      <c r="D23" s="102"/>
      <c r="E23" s="8"/>
    </row>
    <row r="24" spans="1:5" x14ac:dyDescent="0.35">
      <c r="A24" s="116" t="s">
        <v>303</v>
      </c>
      <c r="B24" s="117">
        <v>400</v>
      </c>
      <c r="C24" s="8"/>
      <c r="D24" s="102" t="s">
        <v>304</v>
      </c>
      <c r="E24" s="8"/>
    </row>
    <row r="25" spans="1:5" x14ac:dyDescent="0.35">
      <c r="A25" s="116" t="s">
        <v>305</v>
      </c>
      <c r="B25" s="117">
        <v>1000</v>
      </c>
      <c r="C25" s="8"/>
      <c r="D25" s="102" t="s">
        <v>306</v>
      </c>
      <c r="E25" s="8"/>
    </row>
    <row r="26" spans="1:5" x14ac:dyDescent="0.35">
      <c r="A26" s="116" t="s">
        <v>307</v>
      </c>
      <c r="B26" s="117">
        <v>4000</v>
      </c>
      <c r="C26" s="8"/>
      <c r="D26" s="102" t="s">
        <v>308</v>
      </c>
      <c r="E26" s="8"/>
    </row>
    <row r="27" spans="1:5" x14ac:dyDescent="0.35">
      <c r="A27" s="116" t="s">
        <v>309</v>
      </c>
      <c r="B27" s="117">
        <v>400</v>
      </c>
      <c r="C27" s="8"/>
      <c r="D27" s="102"/>
      <c r="E27" s="8"/>
    </row>
    <row r="28" spans="1:5" x14ac:dyDescent="0.35">
      <c r="A28" s="116" t="s">
        <v>310</v>
      </c>
      <c r="B28" s="120">
        <v>0.2</v>
      </c>
      <c r="C28" s="8"/>
      <c r="D28" s="102" t="s">
        <v>311</v>
      </c>
      <c r="E28" s="8"/>
    </row>
    <row r="29" spans="1:5" x14ac:dyDescent="0.35">
      <c r="A29" s="94" t="s">
        <v>312</v>
      </c>
      <c r="B29" s="8"/>
      <c r="C29" s="8"/>
      <c r="D29" s="8"/>
      <c r="E29" s="8"/>
    </row>
    <row r="30" spans="1:5" x14ac:dyDescent="0.35">
      <c r="A30" s="116" t="s">
        <v>313</v>
      </c>
      <c r="B30" s="112">
        <v>0</v>
      </c>
      <c r="C30" s="8"/>
      <c r="D30" s="102" t="s">
        <v>314</v>
      </c>
      <c r="E30" s="8"/>
    </row>
    <row r="31" spans="1:5" x14ac:dyDescent="0.35">
      <c r="A31" s="116" t="s">
        <v>315</v>
      </c>
      <c r="B31" s="112">
        <v>20</v>
      </c>
      <c r="C31" s="8"/>
      <c r="D31" s="102" t="s">
        <v>316</v>
      </c>
      <c r="E31" s="8"/>
    </row>
    <row r="32" spans="1:5" x14ac:dyDescent="0.35">
      <c r="A32" s="116" t="s">
        <v>317</v>
      </c>
      <c r="B32" s="112">
        <v>10</v>
      </c>
      <c r="C32" s="8"/>
      <c r="D32" s="102" t="s">
        <v>318</v>
      </c>
      <c r="E32" s="8"/>
    </row>
    <row r="33" spans="1:5" x14ac:dyDescent="0.35">
      <c r="A33" s="94" t="s">
        <v>319</v>
      </c>
      <c r="B33" s="8"/>
      <c r="C33" s="8"/>
      <c r="D33" s="8"/>
      <c r="E33" s="8"/>
    </row>
    <row r="34" spans="1:5" x14ac:dyDescent="0.35">
      <c r="A34" s="116" t="s">
        <v>320</v>
      </c>
      <c r="B34" s="118">
        <v>84</v>
      </c>
      <c r="C34" s="8"/>
      <c r="D34" s="102" t="s">
        <v>321</v>
      </c>
      <c r="E34" s="8"/>
    </row>
    <row r="35" spans="1:5" x14ac:dyDescent="0.35">
      <c r="A35" s="116" t="s">
        <v>322</v>
      </c>
      <c r="B35" s="121">
        <v>150</v>
      </c>
      <c r="C35" s="8"/>
      <c r="D35" s="102" t="s">
        <v>323</v>
      </c>
      <c r="E35" s="8"/>
    </row>
    <row r="36" spans="1:5" x14ac:dyDescent="0.35">
      <c r="A36" s="116" t="s">
        <v>324</v>
      </c>
      <c r="B36" s="118">
        <v>3.5</v>
      </c>
      <c r="C36" s="8"/>
      <c r="D36" s="102" t="s">
        <v>325</v>
      </c>
      <c r="E36" s="8"/>
    </row>
    <row r="37" spans="1:5" x14ac:dyDescent="0.35">
      <c r="A37" s="116" t="s">
        <v>326</v>
      </c>
      <c r="B37" s="122">
        <v>0.5</v>
      </c>
      <c r="C37" s="8"/>
      <c r="D37" s="102" t="s">
        <v>327</v>
      </c>
      <c r="E37" s="8"/>
    </row>
    <row r="38" spans="1:5" x14ac:dyDescent="0.35">
      <c r="A38" s="116" t="s">
        <v>328</v>
      </c>
      <c r="B38" s="123">
        <v>120000</v>
      </c>
      <c r="C38" s="8"/>
      <c r="D38" s="102" t="s">
        <v>329</v>
      </c>
      <c r="E38" s="8"/>
    </row>
    <row r="39" spans="1:5" x14ac:dyDescent="0.35">
      <c r="A39" s="116" t="s">
        <v>330</v>
      </c>
      <c r="B39" s="119">
        <v>2</v>
      </c>
      <c r="C39" s="8"/>
      <c r="D39" s="102" t="s">
        <v>331</v>
      </c>
      <c r="E39" s="8"/>
    </row>
    <row r="40" spans="1:5" x14ac:dyDescent="0.35">
      <c r="A40" s="116" t="s">
        <v>332</v>
      </c>
      <c r="B40" s="119">
        <v>1</v>
      </c>
      <c r="C40" s="8"/>
      <c r="D40" s="102" t="s">
        <v>333</v>
      </c>
      <c r="E40" s="8"/>
    </row>
    <row r="41" spans="1:5" x14ac:dyDescent="0.35">
      <c r="A41" s="116" t="s">
        <v>334</v>
      </c>
      <c r="B41" s="118">
        <v>1</v>
      </c>
      <c r="C41" s="8"/>
      <c r="D41" s="102" t="s">
        <v>335</v>
      </c>
      <c r="E41" s="8"/>
    </row>
    <row r="42" spans="1:5" x14ac:dyDescent="0.35">
      <c r="A42" s="116" t="s">
        <v>336</v>
      </c>
      <c r="B42" s="124">
        <v>0.8</v>
      </c>
      <c r="C42" s="8"/>
      <c r="D42" s="102" t="s">
        <v>337</v>
      </c>
      <c r="E42" s="8"/>
    </row>
    <row r="43" spans="1:5" x14ac:dyDescent="0.35">
      <c r="A43" s="116" t="s">
        <v>338</v>
      </c>
      <c r="B43" s="117">
        <v>80</v>
      </c>
      <c r="C43" s="8"/>
      <c r="D43" s="102" t="s">
        <v>339</v>
      </c>
      <c r="E43" s="8"/>
    </row>
    <row r="44" spans="1:5" x14ac:dyDescent="0.35">
      <c r="A44" s="116" t="s">
        <v>340</v>
      </c>
      <c r="B44" s="119">
        <v>160</v>
      </c>
      <c r="C44" s="8"/>
      <c r="D44" s="102" t="s">
        <v>341</v>
      </c>
      <c r="E44" s="8"/>
    </row>
    <row r="45" spans="1:5" x14ac:dyDescent="0.35">
      <c r="A45" s="116" t="s">
        <v>342</v>
      </c>
      <c r="B45" s="112">
        <v>30</v>
      </c>
      <c r="C45" s="8"/>
      <c r="D45" s="102" t="s">
        <v>343</v>
      </c>
      <c r="E45" s="8"/>
    </row>
    <row r="46" spans="1:5" x14ac:dyDescent="0.35">
      <c r="A46" s="116" t="s">
        <v>344</v>
      </c>
      <c r="B46" s="117">
        <v>6</v>
      </c>
      <c r="C46" s="8"/>
      <c r="D46" s="102" t="s">
        <v>345</v>
      </c>
      <c r="E46" s="8"/>
    </row>
    <row r="47" spans="1:5" x14ac:dyDescent="0.35">
      <c r="A47" s="8"/>
      <c r="B47" s="8"/>
      <c r="C47" s="8"/>
      <c r="D47" s="8"/>
      <c r="E47" s="8"/>
    </row>
    <row r="48" spans="1:5" x14ac:dyDescent="0.35">
      <c r="A48" s="94" t="s">
        <v>346</v>
      </c>
      <c r="B48" s="8"/>
      <c r="C48" s="8"/>
      <c r="D48" s="8"/>
      <c r="E48" s="8"/>
    </row>
    <row r="49" spans="1:5" x14ac:dyDescent="0.35">
      <c r="A49" s="10" t="s">
        <v>123</v>
      </c>
      <c r="B49" s="10" t="s">
        <v>347</v>
      </c>
      <c r="C49" s="10" t="s">
        <v>348</v>
      </c>
      <c r="D49" s="10" t="s">
        <v>349</v>
      </c>
      <c r="E49" s="8"/>
    </row>
    <row r="50" spans="1:5" x14ac:dyDescent="0.35">
      <c r="A50" s="116" t="s">
        <v>45</v>
      </c>
      <c r="B50" s="125">
        <v>0.59</v>
      </c>
      <c r="C50" s="125">
        <v>0.79</v>
      </c>
      <c r="D50" s="102" t="s">
        <v>350</v>
      </c>
      <c r="E50" s="8"/>
    </row>
    <row r="51" spans="1:5" x14ac:dyDescent="0.35">
      <c r="A51" s="116" t="s">
        <v>47</v>
      </c>
      <c r="B51" s="125">
        <v>0.05</v>
      </c>
      <c r="C51" s="125">
        <v>0.08</v>
      </c>
      <c r="D51" s="102" t="s">
        <v>351</v>
      </c>
      <c r="E51" s="8"/>
    </row>
    <row r="52" spans="1:5" x14ac:dyDescent="0.35">
      <c r="A52" s="116" t="s">
        <v>51</v>
      </c>
      <c r="B52" s="125">
        <v>2</v>
      </c>
      <c r="C52" s="125">
        <v>10</v>
      </c>
      <c r="D52" s="102" t="s">
        <v>352</v>
      </c>
      <c r="E52" s="8"/>
    </row>
    <row r="53" spans="1:5" x14ac:dyDescent="0.35">
      <c r="A53" s="116" t="s">
        <v>49</v>
      </c>
      <c r="B53" s="125">
        <v>0.1</v>
      </c>
      <c r="C53" s="125">
        <v>0.5</v>
      </c>
      <c r="D53" s="102" t="s">
        <v>353</v>
      </c>
      <c r="E53" s="8"/>
    </row>
    <row r="54" spans="1:5" x14ac:dyDescent="0.35">
      <c r="A54" s="116" t="s">
        <v>53</v>
      </c>
      <c r="B54" s="125">
        <v>4</v>
      </c>
      <c r="C54" s="125">
        <v>20</v>
      </c>
      <c r="D54" s="102" t="s">
        <v>354</v>
      </c>
      <c r="E54" s="8"/>
    </row>
    <row r="55" spans="1:5" x14ac:dyDescent="0.35">
      <c r="A55" s="8"/>
      <c r="B55" s="8"/>
      <c r="C55" s="8"/>
      <c r="D55" s="8"/>
      <c r="E55" s="8"/>
    </row>
    <row r="56" spans="1:5" x14ac:dyDescent="0.35">
      <c r="A56" s="94" t="s">
        <v>355</v>
      </c>
      <c r="B56" s="8"/>
      <c r="C56" s="8"/>
      <c r="D56" s="8"/>
      <c r="E56" s="8"/>
    </row>
    <row r="57" spans="1:5" ht="41.4" x14ac:dyDescent="0.35">
      <c r="A57" s="10" t="s">
        <v>356</v>
      </c>
      <c r="B57" s="10" t="s">
        <v>357</v>
      </c>
      <c r="C57" s="10" t="s">
        <v>358</v>
      </c>
      <c r="D57" s="10" t="s">
        <v>359</v>
      </c>
      <c r="E57" s="8"/>
    </row>
    <row r="58" spans="1:5" x14ac:dyDescent="0.35">
      <c r="A58" s="94" t="s">
        <v>360</v>
      </c>
      <c r="B58" s="126" t="s">
        <v>45</v>
      </c>
      <c r="C58" s="126" t="s">
        <v>45</v>
      </c>
      <c r="D58" s="102" t="s">
        <v>361</v>
      </c>
      <c r="E58" s="8"/>
    </row>
    <row r="59" spans="1:5" x14ac:dyDescent="0.35">
      <c r="A59" s="94" t="s">
        <v>362</v>
      </c>
      <c r="B59" s="126" t="s">
        <v>51</v>
      </c>
      <c r="C59" s="126" t="s">
        <v>49</v>
      </c>
      <c r="D59" s="102" t="s">
        <v>363</v>
      </c>
      <c r="E59" s="8"/>
    </row>
    <row r="60" spans="1:5" x14ac:dyDescent="0.35">
      <c r="A60" s="94" t="s">
        <v>364</v>
      </c>
      <c r="B60" s="126" t="s">
        <v>53</v>
      </c>
      <c r="C60" s="126" t="s">
        <v>53</v>
      </c>
      <c r="D60" s="102" t="s">
        <v>365</v>
      </c>
      <c r="E60" s="8"/>
    </row>
    <row r="61" spans="1:5" x14ac:dyDescent="0.35">
      <c r="A61" s="8"/>
      <c r="B61" s="8"/>
      <c r="C61" s="8"/>
      <c r="D61" s="8"/>
      <c r="E61" s="8"/>
    </row>
    <row r="62" spans="1:5" x14ac:dyDescent="0.35">
      <c r="A62" s="94" t="s">
        <v>366</v>
      </c>
      <c r="B62" s="8"/>
      <c r="C62" s="8"/>
      <c r="D62" s="8"/>
      <c r="E62" s="8"/>
    </row>
    <row r="63" spans="1:5" x14ac:dyDescent="0.35">
      <c r="A63" s="10" t="s">
        <v>356</v>
      </c>
      <c r="B63" s="10" t="s">
        <v>367</v>
      </c>
      <c r="C63" s="10" t="s">
        <v>368</v>
      </c>
      <c r="D63" s="10" t="s">
        <v>369</v>
      </c>
      <c r="E63" s="10" t="s">
        <v>370</v>
      </c>
    </row>
    <row r="64" spans="1:5" x14ac:dyDescent="0.35">
      <c r="A64" s="116" t="str">
        <f>Inputs!$A$58</f>
        <v>A. Prototype (today)</v>
      </c>
      <c r="B64" s="127">
        <f>INDEX(Inputs!$B$50:$B$54,MATCH(Inputs!$B$58,Inputs!$A$50:$A$54,0))</f>
        <v>0.59</v>
      </c>
      <c r="C64" s="127">
        <f>INDEX(Inputs!$C$50:$C$54,MATCH(Inputs!$B$58,Inputs!$A$50:$A$54,0))</f>
        <v>0.79</v>
      </c>
      <c r="D64" s="127">
        <f>INDEX(Inputs!$B$50:$B$54,MATCH(Inputs!$C$58,Inputs!$A$50:$A$54,0))</f>
        <v>0.59</v>
      </c>
      <c r="E64" s="127">
        <f>INDEX(Inputs!$C$50:$C$54,MATCH(Inputs!$C$58,Inputs!$A$50:$A$54,0))</f>
        <v>0.79</v>
      </c>
    </row>
    <row r="65" spans="1:5" x14ac:dyDescent="0.35">
      <c r="A65" s="116" t="str">
        <f>Inputs!$A$59</f>
        <v>B. Recommended production</v>
      </c>
      <c r="B65" s="127">
        <f>INDEX(Inputs!$B$50:$B$54,MATCH(Inputs!$B$59,Inputs!$A$50:$A$54,0))</f>
        <v>2</v>
      </c>
      <c r="C65" s="127">
        <f>INDEX(Inputs!$C$50:$C$54,MATCH(Inputs!$B$59,Inputs!$A$50:$A$54,0))</f>
        <v>10</v>
      </c>
      <c r="D65" s="127">
        <f>INDEX(Inputs!$B$50:$B$54,MATCH(Inputs!$C$59,Inputs!$A$50:$A$54,0))</f>
        <v>0.1</v>
      </c>
      <c r="E65" s="127">
        <f>INDEX(Inputs!$C$50:$C$54,MATCH(Inputs!$C$59,Inputs!$A$50:$A$54,0))</f>
        <v>0.5</v>
      </c>
    </row>
    <row r="66" spans="1:5" x14ac:dyDescent="0.35">
      <c r="A66" s="116" t="str">
        <f>Inputs!$A$60</f>
        <v>C. Premium (max quality)</v>
      </c>
      <c r="B66" s="127">
        <f>INDEX(Inputs!$B$50:$B$54,MATCH(Inputs!$B$60,Inputs!$A$50:$A$54,0))</f>
        <v>4</v>
      </c>
      <c r="C66" s="127">
        <f>INDEX(Inputs!$C$50:$C$54,MATCH(Inputs!$B$60,Inputs!$A$50:$A$54,0))</f>
        <v>20</v>
      </c>
      <c r="D66" s="127">
        <f>INDEX(Inputs!$B$50:$B$54,MATCH(Inputs!$C$60,Inputs!$A$50:$A$54,0))</f>
        <v>4</v>
      </c>
      <c r="E66" s="127">
        <f>INDEX(Inputs!$C$50:$C$54,MATCH(Inputs!$C$60,Inputs!$A$50:$A$54,0))</f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E38"/>
  <sheetViews>
    <sheetView tabSelected="1" topLeftCell="D8" zoomScale="60" zoomScaleNormal="60" workbookViewId="0">
      <selection activeCell="H26" sqref="H26"/>
    </sheetView>
  </sheetViews>
  <sheetFormatPr defaultColWidth="11.1640625" defaultRowHeight="18" x14ac:dyDescent="0.35"/>
  <cols>
    <col min="1" max="3" width="0" hidden="1" customWidth="1"/>
    <col min="4" max="4" width="58" customWidth="1"/>
    <col min="5" max="5" width="20" customWidth="1"/>
  </cols>
  <sheetData>
    <row r="3" spans="4:5" x14ac:dyDescent="0.35">
      <c r="D3" s="2" t="s">
        <v>96</v>
      </c>
      <c r="E3" s="2"/>
    </row>
    <row r="4" spans="4:5" x14ac:dyDescent="0.35">
      <c r="D4" s="67" t="s">
        <v>73</v>
      </c>
      <c r="E4" s="67" t="s">
        <v>36</v>
      </c>
    </row>
    <row r="5" spans="4:5" x14ac:dyDescent="0.35">
      <c r="D5" s="67" t="s">
        <v>97</v>
      </c>
      <c r="E5" s="68">
        <f>Inputs!$B$5</f>
        <v>9</v>
      </c>
    </row>
    <row r="6" spans="4:5" x14ac:dyDescent="0.35">
      <c r="D6" s="67" t="s">
        <v>98</v>
      </c>
      <c r="E6" s="130">
        <f>Inputs!$B$36</f>
        <v>3.5</v>
      </c>
    </row>
    <row r="7" spans="4:5" x14ac:dyDescent="0.35">
      <c r="D7" s="67" t="s">
        <v>99</v>
      </c>
      <c r="E7" s="130">
        <f>Inputs!$B$37</f>
        <v>0.5</v>
      </c>
    </row>
    <row r="8" spans="4:5" x14ac:dyDescent="0.35">
      <c r="D8" s="67" t="s">
        <v>100</v>
      </c>
      <c r="E8" s="129">
        <f>E5*E6</f>
        <v>31.5</v>
      </c>
    </row>
    <row r="9" spans="4:5" x14ac:dyDescent="0.35">
      <c r="D9" s="67" t="s">
        <v>101</v>
      </c>
      <c r="E9" s="129">
        <f>E5*E7</f>
        <v>4.5</v>
      </c>
    </row>
    <row r="10" spans="4:5" x14ac:dyDescent="0.35">
      <c r="D10" s="67" t="s">
        <v>102</v>
      </c>
      <c r="E10" s="131">
        <f>E8-E9</f>
        <v>27</v>
      </c>
    </row>
    <row r="13" spans="4:5" x14ac:dyDescent="0.35">
      <c r="D13" s="2" t="s">
        <v>103</v>
      </c>
      <c r="E13" s="2"/>
    </row>
    <row r="14" spans="4:5" x14ac:dyDescent="0.35">
      <c r="D14" s="21" t="s">
        <v>73</v>
      </c>
      <c r="E14" s="69" t="s">
        <v>104</v>
      </c>
    </row>
    <row r="15" spans="4:5" x14ac:dyDescent="0.35">
      <c r="D15" s="25" t="s">
        <v>105</v>
      </c>
      <c r="E15" s="70">
        <f>E8*Inputs!$B$35</f>
        <v>4725</v>
      </c>
    </row>
    <row r="16" spans="4:5" x14ac:dyDescent="0.35">
      <c r="D16" s="25" t="s">
        <v>106</v>
      </c>
      <c r="E16" s="71">
        <f>Inputs!$B$39*Inputs!$B$38/Inputs!$B$34</f>
        <v>2857.1428571428573</v>
      </c>
    </row>
    <row r="17" spans="4:5" x14ac:dyDescent="0.35">
      <c r="D17" s="72" t="s">
        <v>107</v>
      </c>
      <c r="E17" s="73">
        <f>Inputs!$B$41*Cost_of_Status_Quo!B10/12</f>
        <v>2933.3333333333335</v>
      </c>
    </row>
    <row r="19" spans="4:5" x14ac:dyDescent="0.35">
      <c r="D19" s="66" t="s">
        <v>103</v>
      </c>
      <c r="E19" s="74">
        <f>SUM(E15:E17)</f>
        <v>10515.476190476191</v>
      </c>
    </row>
    <row r="22" spans="4:5" ht="19.5" customHeight="1" x14ac:dyDescent="0.35">
      <c r="D22" s="1" t="s">
        <v>108</v>
      </c>
      <c r="E22" s="1"/>
    </row>
    <row r="23" spans="4:5" x14ac:dyDescent="0.35">
      <c r="D23" s="21" t="s">
        <v>73</v>
      </c>
      <c r="E23" s="69" t="s">
        <v>104</v>
      </c>
    </row>
    <row r="24" spans="4:5" x14ac:dyDescent="0.35">
      <c r="D24" s="75" t="s">
        <v>109</v>
      </c>
      <c r="E24" s="76">
        <f>Way1_Per_Review!J25</f>
        <v>3.0308309999999996</v>
      </c>
    </row>
    <row r="25" spans="4:5" x14ac:dyDescent="0.35">
      <c r="D25" s="77" t="s">
        <v>110</v>
      </c>
      <c r="E25" s="78">
        <f>Embeddings!D29</f>
        <v>8.7161607000000016E-2</v>
      </c>
    </row>
    <row r="26" spans="4:5" x14ac:dyDescent="0.35">
      <c r="D26" s="75" t="s">
        <v>111</v>
      </c>
      <c r="E26" s="76">
        <f>Inputs!$B$31+Inputs!$B$32</f>
        <v>30</v>
      </c>
    </row>
    <row r="27" spans="4:5" x14ac:dyDescent="0.35">
      <c r="D27" s="75" t="s">
        <v>105</v>
      </c>
      <c r="E27" s="76">
        <f>E9*Inputs!$B$35</f>
        <v>675</v>
      </c>
    </row>
    <row r="28" spans="4:5" x14ac:dyDescent="0.35">
      <c r="D28" s="75" t="s">
        <v>112</v>
      </c>
      <c r="E28" s="76">
        <f>Inputs!$B$40*Inputs!$B$38/Inputs!$B$34</f>
        <v>1428.5714285714287</v>
      </c>
    </row>
    <row r="29" spans="4:5" x14ac:dyDescent="0.35">
      <c r="D29" s="75" t="s">
        <v>113</v>
      </c>
      <c r="E29" s="76">
        <f>E17*(1-Inputs!$B$42)</f>
        <v>586.66666666666652</v>
      </c>
    </row>
    <row r="30" spans="4:5" x14ac:dyDescent="0.35">
      <c r="D30" s="79"/>
      <c r="E30" s="79"/>
    </row>
    <row r="31" spans="4:5" x14ac:dyDescent="0.35">
      <c r="D31" s="66" t="s">
        <v>114</v>
      </c>
      <c r="E31" s="80">
        <f>SUM(E24:E29)</f>
        <v>2723.3560878450953</v>
      </c>
    </row>
    <row r="34" spans="4:5" x14ac:dyDescent="0.35">
      <c r="D34" s="81" t="s">
        <v>115</v>
      </c>
      <c r="E34" s="82">
        <f>E19-E31</f>
        <v>7792.1201026310955</v>
      </c>
    </row>
    <row r="35" spans="4:5" x14ac:dyDescent="0.35">
      <c r="D35" s="81" t="s">
        <v>116</v>
      </c>
      <c r="E35" s="132">
        <f>E34/E19</f>
        <v>0.74101447823051281</v>
      </c>
    </row>
    <row r="36" spans="4:5" x14ac:dyDescent="0.35">
      <c r="D36" s="81" t="s">
        <v>117</v>
      </c>
      <c r="E36" s="82">
        <f>E34*12</f>
        <v>93505.441231573146</v>
      </c>
    </row>
    <row r="38" spans="4:5" x14ac:dyDescent="0.35">
      <c r="D38" s="41" t="s">
        <v>118</v>
      </c>
    </row>
  </sheetData>
  <mergeCells count="3">
    <mergeCell ref="D3:E3"/>
    <mergeCell ref="D13:E13"/>
    <mergeCell ref="D22:E22"/>
  </mergeCells>
  <pageMargins left="0.7" right="0.7" top="0.75" bottom="0.75" header="0.511811023622047" footer="0.511811023622047"/>
  <pageSetup paperSize="9" orientation="portrait" horizontalDpi="300" verticalDpi="300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K21"/>
  <sheetViews>
    <sheetView zoomScale="60" zoomScaleNormal="60" workbookViewId="0">
      <selection activeCell="K20" sqref="K20"/>
    </sheetView>
  </sheetViews>
  <sheetFormatPr defaultColWidth="11.1640625" defaultRowHeight="18" x14ac:dyDescent="0.35"/>
  <cols>
    <col min="2" max="2" width="62" customWidth="1"/>
    <col min="3" max="3" width="15.9140625" customWidth="1"/>
    <col min="4" max="4" width="3.5" customWidth="1"/>
    <col min="5" max="5" width="34" customWidth="1"/>
    <col min="6" max="6" width="18.6640625" customWidth="1"/>
    <col min="7" max="7" width="20.33203125" customWidth="1"/>
    <col min="8" max="9" width="19" customWidth="1"/>
    <col min="10" max="10" width="12.58203125" customWidth="1"/>
    <col min="11" max="11" width="18.33203125" customWidth="1"/>
  </cols>
  <sheetData>
    <row r="3" spans="2:11" ht="19.5" customHeight="1" x14ac:dyDescent="0.35"/>
    <row r="4" spans="2:11" ht="18.75" customHeight="1" x14ac:dyDescent="0.35">
      <c r="B4" s="6" t="s">
        <v>33</v>
      </c>
      <c r="C4" s="6"/>
      <c r="E4" s="5" t="s">
        <v>34</v>
      </c>
      <c r="F4" s="5"/>
      <c r="G4" s="5"/>
      <c r="H4" s="5"/>
      <c r="I4" s="5"/>
      <c r="J4" s="5"/>
      <c r="K4" s="5"/>
    </row>
    <row r="5" spans="2:11" ht="39.75" customHeight="1" x14ac:dyDescent="0.35">
      <c r="B5" s="19" t="s">
        <v>35</v>
      </c>
      <c r="C5" s="20" t="s">
        <v>36</v>
      </c>
      <c r="E5" s="21" t="s">
        <v>37</v>
      </c>
      <c r="F5" s="22" t="s">
        <v>38</v>
      </c>
      <c r="G5" s="22" t="s">
        <v>39</v>
      </c>
      <c r="H5" s="22" t="s">
        <v>40</v>
      </c>
      <c r="I5" s="22" t="s">
        <v>41</v>
      </c>
      <c r="J5" s="22" t="s">
        <v>42</v>
      </c>
      <c r="K5" s="23" t="s">
        <v>43</v>
      </c>
    </row>
    <row r="6" spans="2:11" x14ac:dyDescent="0.35">
      <c r="B6" s="19" t="s">
        <v>44</v>
      </c>
      <c r="C6" s="24">
        <f>ROUNDUP(Inputs!$B$13/Inputs!$B$16,0)*Inputs!$B$16</f>
        <v>17500</v>
      </c>
      <c r="E6" s="25" t="s">
        <v>45</v>
      </c>
      <c r="F6" s="26">
        <f>INDEX(Inputs!$B$50:$B$54,MATCH(E6,Inputs!$A$50:$A$54,0))</f>
        <v>0.59</v>
      </c>
      <c r="G6" s="26">
        <f>INDEX(Inputs!$C$50:$C$54,MATCH(E6,Inputs!$A$50:$A$54,0))</f>
        <v>0.79</v>
      </c>
      <c r="H6" s="27">
        <f>F6*$C$11/1000000</f>
        <v>2.1416999999999999E-2</v>
      </c>
      <c r="I6" s="27">
        <f>G6*$C$12/1000000</f>
        <v>4.3039200000000001E-3</v>
      </c>
      <c r="J6" s="27">
        <f>H6+I6</f>
        <v>2.5720919999999998E-2</v>
      </c>
      <c r="K6" s="28">
        <f t="shared" ref="K6:K11" si="0">J6*$C$16</f>
        <v>0.34723241999999999</v>
      </c>
    </row>
    <row r="7" spans="2:11" x14ac:dyDescent="0.35">
      <c r="B7" s="19" t="s">
        <v>46</v>
      </c>
      <c r="C7" s="24">
        <f>ROUNDUP(Inputs!$B$13/Inputs!$B$16,0)*Inputs!$B$17</f>
        <v>7500</v>
      </c>
      <c r="E7" s="25" t="s">
        <v>47</v>
      </c>
      <c r="F7" s="26">
        <f>INDEX(Inputs!$B$50:$B$54,MATCH(E7,Inputs!$A$50:$A$54,0))</f>
        <v>0.05</v>
      </c>
      <c r="G7" s="26">
        <f>INDEX(Inputs!$C$50:$C$54,MATCH(E7,Inputs!$A$50:$A$54,0))</f>
        <v>0.08</v>
      </c>
      <c r="H7" s="27">
        <f>F7*$C$11/1000000</f>
        <v>1.815E-3</v>
      </c>
      <c r="I7" s="27">
        <f>G7*$C$12/1000000</f>
        <v>4.3584000000000006E-4</v>
      </c>
      <c r="J7" s="27">
        <f>H7+I7</f>
        <v>2.25084E-3</v>
      </c>
      <c r="K7" s="28">
        <f t="shared" si="0"/>
        <v>3.0386340000000001E-2</v>
      </c>
    </row>
    <row r="8" spans="2:11" x14ac:dyDescent="0.35">
      <c r="B8" s="19" t="s">
        <v>48</v>
      </c>
      <c r="C8" s="24">
        <f>Inputs!$B$19</f>
        <v>4050</v>
      </c>
      <c r="E8" s="25" t="s">
        <v>49</v>
      </c>
      <c r="F8" s="26">
        <f>INDEX(Inputs!$B$50:$B$54,MATCH(E8,Inputs!$A$50:$A$54,0))</f>
        <v>0.1</v>
      </c>
      <c r="G8" s="26">
        <f>INDEX(Inputs!$C$50:$C$54,MATCH(E8,Inputs!$A$50:$A$54,0))</f>
        <v>0.5</v>
      </c>
      <c r="H8" s="27">
        <f>F8*$C$11/1000000</f>
        <v>3.63E-3</v>
      </c>
      <c r="I8" s="27">
        <f>G8*$C$12/1000000</f>
        <v>2.7239999999999999E-3</v>
      </c>
      <c r="J8" s="27">
        <f>H8+I8</f>
        <v>6.3540000000000003E-3</v>
      </c>
      <c r="K8" s="28">
        <f t="shared" si="0"/>
        <v>8.5779000000000008E-2</v>
      </c>
    </row>
    <row r="9" spans="2:11" x14ac:dyDescent="0.35">
      <c r="B9" s="19" t="s">
        <v>50</v>
      </c>
      <c r="C9" s="24">
        <f>Inputs!$B$21*Inputs!$B$22</f>
        <v>1200</v>
      </c>
      <c r="E9" s="25" t="s">
        <v>51</v>
      </c>
      <c r="F9" s="26">
        <f>INDEX(Inputs!$B$50:$B$54,MATCH(E9,Inputs!$A$50:$A$54,0))</f>
        <v>2</v>
      </c>
      <c r="G9" s="26">
        <f>INDEX(Inputs!$C$50:$C$54,MATCH(E9,Inputs!$A$50:$A$54,0))</f>
        <v>10</v>
      </c>
      <c r="H9" s="27">
        <f>F9*$C$11/1000000</f>
        <v>7.2599999999999998E-2</v>
      </c>
      <c r="I9" s="27">
        <f>G9*$C$12/1000000</f>
        <v>5.4480000000000001E-2</v>
      </c>
      <c r="J9" s="27">
        <f>H9+I9</f>
        <v>0.12708</v>
      </c>
      <c r="K9" s="28">
        <f t="shared" si="0"/>
        <v>1.7155799999999999</v>
      </c>
    </row>
    <row r="10" spans="2:11" x14ac:dyDescent="0.35">
      <c r="B10" s="19" t="s">
        <v>52</v>
      </c>
      <c r="C10" s="24">
        <f>SUM(C6:C9)*Inputs!$B$28</f>
        <v>6050</v>
      </c>
      <c r="E10" s="25" t="s">
        <v>53</v>
      </c>
      <c r="F10" s="26">
        <f>INDEX(Inputs!$B$50:$B$54,MATCH(E10,Inputs!$A$50:$A$54,0))</f>
        <v>4</v>
      </c>
      <c r="G10" s="26">
        <f>INDEX(Inputs!$C$50:$C$54,MATCH(E10,Inputs!$A$50:$A$54,0))</f>
        <v>20</v>
      </c>
      <c r="H10" s="27">
        <f>F10*$C$11/1000000</f>
        <v>0.1452</v>
      </c>
      <c r="I10" s="27">
        <f>G10*$C$12/1000000</f>
        <v>0.10896</v>
      </c>
      <c r="J10" s="27">
        <f>H10+I10</f>
        <v>0.25416</v>
      </c>
      <c r="K10" s="28">
        <f t="shared" si="0"/>
        <v>3.4311599999999998</v>
      </c>
    </row>
    <row r="11" spans="2:11" ht="37.5" customHeight="1" x14ac:dyDescent="0.35">
      <c r="B11" s="29" t="s">
        <v>54</v>
      </c>
      <c r="C11" s="30">
        <f>SUM(C6:C10)</f>
        <v>36300</v>
      </c>
      <c r="E11" s="31" t="s">
        <v>55</v>
      </c>
      <c r="F11" s="28"/>
      <c r="G11" s="28"/>
      <c r="H11" s="28"/>
      <c r="I11" s="28"/>
      <c r="J11" s="128">
        <f>Way1_Per_Review!J17</f>
        <v>0.11442599999999999</v>
      </c>
      <c r="K11" s="32">
        <f t="shared" si="0"/>
        <v>1.5447509999999998</v>
      </c>
    </row>
    <row r="12" spans="2:11" x14ac:dyDescent="0.35">
      <c r="B12" s="19" t="s">
        <v>56</v>
      </c>
      <c r="C12" s="24">
        <f>(ROUNDUP(Inputs!$B$13/Inputs!$B$16,0)*Inputs!$B$18+Inputs!$B$20+Inputs!$B$21*Inputs!$B$23)*(1+Inputs!$B$28)</f>
        <v>5448</v>
      </c>
    </row>
    <row r="13" spans="2:11" x14ac:dyDescent="0.35">
      <c r="B13" s="29" t="s">
        <v>57</v>
      </c>
      <c r="C13" s="30">
        <f>C11+C12</f>
        <v>41748</v>
      </c>
      <c r="E13" s="33" t="s">
        <v>58</v>
      </c>
    </row>
    <row r="14" spans="2:11" x14ac:dyDescent="0.35">
      <c r="B14" s="19" t="s">
        <v>59</v>
      </c>
      <c r="C14" s="34">
        <f>Inputs!$B$5*Inputs!$B$7/C15</f>
        <v>0.61363636363636365</v>
      </c>
      <c r="E14" s="35" t="s">
        <v>60</v>
      </c>
      <c r="K14" s="36">
        <f>K11</f>
        <v>1.5447509999999998</v>
      </c>
    </row>
    <row r="15" spans="2:11" x14ac:dyDescent="0.35">
      <c r="B15" s="19" t="s">
        <v>61</v>
      </c>
      <c r="C15" s="37">
        <v>22</v>
      </c>
      <c r="E15" s="35" t="s">
        <v>62</v>
      </c>
      <c r="K15" s="36">
        <f>Way1_Per_Review!J22+Way1_Per_Review!J23</f>
        <v>0.33407999999999993</v>
      </c>
    </row>
    <row r="16" spans="2:11" ht="19.5" customHeight="1" x14ac:dyDescent="0.35">
      <c r="B16" s="38" t="s">
        <v>63</v>
      </c>
      <c r="C16" s="39">
        <f>C14*C15</f>
        <v>13.5</v>
      </c>
      <c r="E16" s="35" t="s">
        <v>64</v>
      </c>
      <c r="K16" s="36">
        <f>Way1_Per_Review!J24</f>
        <v>1.1519999999999999</v>
      </c>
    </row>
    <row r="17" spans="5:11" x14ac:dyDescent="0.35">
      <c r="E17" s="35" t="s">
        <v>65</v>
      </c>
      <c r="K17" s="36">
        <f>Embeddings!D29</f>
        <v>8.7161607000000016E-2</v>
      </c>
    </row>
    <row r="18" spans="5:11" x14ac:dyDescent="0.35">
      <c r="E18" s="35" t="s">
        <v>66</v>
      </c>
      <c r="K18" s="36">
        <f>Inputs!$B$31+Inputs!$B$32</f>
        <v>30</v>
      </c>
    </row>
    <row r="19" spans="5:11" x14ac:dyDescent="0.35">
      <c r="E19" s="33" t="s">
        <v>67</v>
      </c>
      <c r="K19" s="40">
        <f>SUM(K14:K18)</f>
        <v>33.117992606999998</v>
      </c>
    </row>
    <row r="20" spans="5:11" x14ac:dyDescent="0.35">
      <c r="E20" s="33" t="s">
        <v>21</v>
      </c>
      <c r="K20" s="40">
        <f>K19*12</f>
        <v>397.415911284</v>
      </c>
    </row>
    <row r="21" spans="5:11" x14ac:dyDescent="0.35">
      <c r="E21" s="41" t="s">
        <v>68</v>
      </c>
    </row>
  </sheetData>
  <mergeCells count="2">
    <mergeCell ref="B4:C4"/>
    <mergeCell ref="E4:K4"/>
  </mergeCells>
  <pageMargins left="0.7" right="0.7" top="0.75" bottom="0.75" header="0.511811023622047" footer="0.511811023622047"/>
  <pageSetup paperSize="9" orientation="portrait" horizontalDpi="300" verticalDpi="300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2:J31"/>
  <sheetViews>
    <sheetView zoomScale="60" zoomScaleNormal="60" workbookViewId="0">
      <selection activeCell="I25" sqref="I25"/>
    </sheetView>
  </sheetViews>
  <sheetFormatPr defaultColWidth="11.1640625" defaultRowHeight="18" x14ac:dyDescent="0.35"/>
  <cols>
    <col min="3" max="3" width="31.33203125" customWidth="1"/>
    <col min="4" max="4" width="18" customWidth="1"/>
    <col min="6" max="6" width="22.25" customWidth="1"/>
    <col min="7" max="7" width="15" customWidth="1"/>
    <col min="9" max="9" width="23.4140625" customWidth="1"/>
    <col min="10" max="10" width="14.9140625" customWidth="1"/>
  </cols>
  <sheetData>
    <row r="2" spans="3:10" ht="19.5" customHeight="1" x14ac:dyDescent="0.35"/>
    <row r="3" spans="3:10" ht="24.75" customHeight="1" x14ac:dyDescent="0.35">
      <c r="C3" s="42" t="s">
        <v>69</v>
      </c>
      <c r="D3" s="43">
        <v>1.3</v>
      </c>
    </row>
    <row r="4" spans="3:10" ht="19.5" customHeight="1" x14ac:dyDescent="0.35"/>
    <row r="5" spans="3:10" ht="19.5" customHeight="1" x14ac:dyDescent="0.35">
      <c r="C5" s="4" t="s">
        <v>70</v>
      </c>
      <c r="D5" s="4"/>
      <c r="F5" s="3" t="s">
        <v>71</v>
      </c>
      <c r="G5" s="3"/>
      <c r="I5" s="3" t="s">
        <v>72</v>
      </c>
      <c r="J5" s="3"/>
    </row>
    <row r="6" spans="3:10" ht="19.5" customHeight="1" x14ac:dyDescent="0.35">
      <c r="C6" s="44" t="s">
        <v>73</v>
      </c>
      <c r="D6" s="45" t="s">
        <v>36</v>
      </c>
      <c r="F6" s="44" t="s">
        <v>73</v>
      </c>
      <c r="G6" s="45" t="s">
        <v>36</v>
      </c>
      <c r="I6" s="44" t="s">
        <v>73</v>
      </c>
      <c r="J6" s="45" t="s">
        <v>36</v>
      </c>
    </row>
    <row r="7" spans="3:10" x14ac:dyDescent="0.35">
      <c r="C7" s="46" t="s">
        <v>74</v>
      </c>
      <c r="D7" s="47">
        <f>Inputs!$B$9</f>
        <v>30</v>
      </c>
      <c r="F7" s="48" t="s">
        <v>75</v>
      </c>
      <c r="G7" s="49">
        <f>Inputs!$B$5*Inputs!$B$7</f>
        <v>13.5</v>
      </c>
      <c r="I7" s="50" t="s">
        <v>76</v>
      </c>
      <c r="J7" s="47">
        <f>4+Inputs!$B$10</f>
        <v>6</v>
      </c>
    </row>
    <row r="8" spans="3:10" ht="19.5" customHeight="1" x14ac:dyDescent="0.35">
      <c r="C8" s="46" t="s">
        <v>77</v>
      </c>
      <c r="D8" s="47">
        <f>ROUND(Inputs!$B$14/D3,0)</f>
        <v>11538</v>
      </c>
      <c r="F8" s="48" t="s">
        <v>78</v>
      </c>
      <c r="G8" s="49">
        <f>ROUND(Inputs!$B$13/D3,0)</f>
        <v>11538</v>
      </c>
      <c r="I8" s="51" t="s">
        <v>79</v>
      </c>
      <c r="J8" s="52">
        <v>2000</v>
      </c>
    </row>
    <row r="9" spans="3:10" x14ac:dyDescent="0.35">
      <c r="C9" s="46" t="s">
        <v>80</v>
      </c>
      <c r="D9" s="53">
        <f>D7*D8</f>
        <v>346140</v>
      </c>
      <c r="F9" s="48" t="s">
        <v>80</v>
      </c>
      <c r="G9" s="54">
        <f>G8*G7</f>
        <v>155763</v>
      </c>
      <c r="I9" s="50" t="s">
        <v>80</v>
      </c>
      <c r="J9" s="53">
        <f>J8*J7</f>
        <v>12000</v>
      </c>
    </row>
    <row r="10" spans="3:10" ht="19.5" customHeight="1" x14ac:dyDescent="0.35">
      <c r="C10" s="55" t="s">
        <v>81</v>
      </c>
      <c r="D10" s="56">
        <f>D9*D3</f>
        <v>449982</v>
      </c>
      <c r="F10" s="55" t="s">
        <v>82</v>
      </c>
      <c r="G10" s="56">
        <f>G9*D3</f>
        <v>202491.9</v>
      </c>
      <c r="I10" s="55" t="s">
        <v>82</v>
      </c>
      <c r="J10" s="56">
        <f>J9*D3</f>
        <v>15600</v>
      </c>
    </row>
    <row r="12" spans="3:10" ht="19.5" customHeight="1" x14ac:dyDescent="0.35"/>
    <row r="13" spans="3:10" ht="35.85" customHeight="1" x14ac:dyDescent="0.35">
      <c r="C13" s="4" t="s">
        <v>83</v>
      </c>
      <c r="D13" s="4"/>
    </row>
    <row r="14" spans="3:10" ht="19.5" customHeight="1" x14ac:dyDescent="0.35">
      <c r="C14" s="44" t="s">
        <v>73</v>
      </c>
      <c r="D14" s="45" t="s">
        <v>84</v>
      </c>
    </row>
    <row r="15" spans="3:10" x14ac:dyDescent="0.35">
      <c r="C15" s="46" t="s">
        <v>85</v>
      </c>
      <c r="D15" s="53">
        <f>D10+G10+J10</f>
        <v>668073.9</v>
      </c>
    </row>
    <row r="16" spans="3:10" x14ac:dyDescent="0.35">
      <c r="C16" s="46" t="s">
        <v>86</v>
      </c>
      <c r="D16" s="57">
        <v>0.13</v>
      </c>
    </row>
    <row r="17" spans="3:4" ht="19.5" customHeight="1" x14ac:dyDescent="0.35">
      <c r="C17" s="58" t="s">
        <v>87</v>
      </c>
      <c r="D17" s="59">
        <f>D15*D16/1000000</f>
        <v>8.6849607000000009E-2</v>
      </c>
    </row>
    <row r="19" spans="3:4" ht="19.5" customHeight="1" x14ac:dyDescent="0.35"/>
    <row r="20" spans="3:4" ht="18.75" customHeight="1" x14ac:dyDescent="0.35">
      <c r="C20" s="4" t="s">
        <v>88</v>
      </c>
      <c r="D20" s="4"/>
    </row>
    <row r="21" spans="3:4" ht="19.5" customHeight="1" x14ac:dyDescent="0.35">
      <c r="C21" s="44" t="s">
        <v>73</v>
      </c>
      <c r="D21" s="45" t="s">
        <v>84</v>
      </c>
    </row>
    <row r="22" spans="3:4" x14ac:dyDescent="0.35">
      <c r="C22" s="46" t="s">
        <v>89</v>
      </c>
      <c r="D22" s="60">
        <v>30</v>
      </c>
    </row>
    <row r="23" spans="3:4" x14ac:dyDescent="0.35">
      <c r="C23" s="46" t="s">
        <v>90</v>
      </c>
      <c r="D23" s="47">
        <f>Inputs!$B$11</f>
        <v>80</v>
      </c>
    </row>
    <row r="24" spans="3:4" x14ac:dyDescent="0.35">
      <c r="C24" s="46" t="s">
        <v>91</v>
      </c>
      <c r="D24" s="53">
        <f>D23*D22</f>
        <v>2400</v>
      </c>
    </row>
    <row r="25" spans="3:4" x14ac:dyDescent="0.35">
      <c r="C25" s="61" t="s">
        <v>92</v>
      </c>
      <c r="D25" s="62">
        <f>D16</f>
        <v>0.13</v>
      </c>
    </row>
    <row r="26" spans="3:4" ht="19.5" customHeight="1" x14ac:dyDescent="0.35">
      <c r="C26" s="63" t="s">
        <v>93</v>
      </c>
      <c r="D26" s="59">
        <f>D24*D25/1000000</f>
        <v>3.1199999999999999E-4</v>
      </c>
    </row>
    <row r="28" spans="3:4" ht="19.5" customHeight="1" x14ac:dyDescent="0.35"/>
    <row r="29" spans="3:4" ht="19.5" customHeight="1" x14ac:dyDescent="0.35">
      <c r="C29" s="64" t="s">
        <v>94</v>
      </c>
      <c r="D29" s="65">
        <f>D17+D26</f>
        <v>8.7161607000000016E-2</v>
      </c>
    </row>
    <row r="31" spans="3:4" x14ac:dyDescent="0.35">
      <c r="C31" s="41" t="s">
        <v>95</v>
      </c>
    </row>
  </sheetData>
  <mergeCells count="5">
    <mergeCell ref="C5:D5"/>
    <mergeCell ref="F5:G5"/>
    <mergeCell ref="I5:J5"/>
    <mergeCell ref="C13:D13"/>
    <mergeCell ref="C20:D20"/>
  </mergeCells>
  <pageMargins left="0.7" right="0.7" top="0.75" bottom="0.75" header="0.511811023622047" footer="0.511811023622047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showGridLines="0" topLeftCell="A18" zoomScaleNormal="100" workbookViewId="0">
      <selection activeCell="C6" sqref="C6"/>
    </sheetView>
  </sheetViews>
  <sheetFormatPr defaultColWidth="8.5" defaultRowHeight="18" x14ac:dyDescent="0.35"/>
  <cols>
    <col min="1" max="1" width="52" customWidth="1"/>
    <col min="2" max="4" width="20" customWidth="1"/>
  </cols>
  <sheetData>
    <row r="1" spans="1:4" x14ac:dyDescent="0.35">
      <c r="A1" s="7" t="s">
        <v>0</v>
      </c>
      <c r="B1" s="8"/>
      <c r="C1" s="8"/>
      <c r="D1" s="8"/>
    </row>
    <row r="2" spans="1:4" x14ac:dyDescent="0.35">
      <c r="A2" s="9" t="s">
        <v>1</v>
      </c>
      <c r="B2" s="8"/>
      <c r="C2" s="8"/>
      <c r="D2" s="8"/>
    </row>
    <row r="3" spans="1:4" x14ac:dyDescent="0.35">
      <c r="A3" s="8"/>
      <c r="B3" s="8"/>
      <c r="C3" s="8"/>
      <c r="D3" s="8"/>
    </row>
    <row r="4" spans="1:4" x14ac:dyDescent="0.35">
      <c r="A4" s="10" t="s">
        <v>2</v>
      </c>
      <c r="B4" s="10" t="s">
        <v>3</v>
      </c>
      <c r="C4" s="10" t="s">
        <v>4</v>
      </c>
      <c r="D4" s="10" t="s">
        <v>5</v>
      </c>
    </row>
    <row r="5" spans="1:4" x14ac:dyDescent="0.35">
      <c r="A5" s="8" t="s">
        <v>6</v>
      </c>
      <c r="B5" s="11">
        <f>Way1_Per_Review!I17</f>
        <v>2.5720919999999998E-2</v>
      </c>
      <c r="C5" s="11">
        <f>Way1_Per_Review!J17</f>
        <v>0.11442599999999999</v>
      </c>
      <c r="D5" s="11">
        <f>Way1_Per_Review!K17</f>
        <v>0.25416</v>
      </c>
    </row>
    <row r="6" spans="1:4" x14ac:dyDescent="0.35">
      <c r="A6" s="8" t="s">
        <v>7</v>
      </c>
      <c r="B6" s="12">
        <f>Way1_Per_Review!I31</f>
        <v>7.5771779999999997E-2</v>
      </c>
      <c r="C6" s="12">
        <f>Way1_Per_Review!J31</f>
        <v>3.6700923333333333</v>
      </c>
      <c r="D6" s="12">
        <f>Way1_Per_Review!K31</f>
        <v>4.0448133333333338</v>
      </c>
    </row>
    <row r="7" spans="1:4" x14ac:dyDescent="0.35">
      <c r="A7" s="8" t="s">
        <v>8</v>
      </c>
      <c r="B7" s="12">
        <f>Way1_Per_Review!I27</f>
        <v>0.68194601999999993</v>
      </c>
      <c r="C7" s="12">
        <f>Way1_Per_Review!J27</f>
        <v>33.030830999999999</v>
      </c>
      <c r="D7" s="12">
        <f>Way1_Per_Review!K27</f>
        <v>36.403320000000001</v>
      </c>
    </row>
    <row r="8" spans="1:4" x14ac:dyDescent="0.35">
      <c r="A8" s="8" t="s">
        <v>9</v>
      </c>
      <c r="B8" s="13">
        <f>Way1_Per_Review!I28</f>
        <v>8.1833522399999996</v>
      </c>
      <c r="C8" s="13">
        <f>Way1_Per_Review!J28</f>
        <v>396.36997199999996</v>
      </c>
      <c r="D8" s="13">
        <f>Way1_Per_Review!K28</f>
        <v>436.83983999999998</v>
      </c>
    </row>
    <row r="9" spans="1:4" x14ac:dyDescent="0.35">
      <c r="A9" s="8" t="s">
        <v>10</v>
      </c>
      <c r="B9" s="13">
        <f>Way1_Per_Review!I29</f>
        <v>13.6389204</v>
      </c>
      <c r="C9" s="13">
        <f>Way1_Per_Review!J29</f>
        <v>420.61661999999995</v>
      </c>
      <c r="D9" s="13">
        <f>Way1_Per_Review!K29</f>
        <v>488.06639999999993</v>
      </c>
    </row>
    <row r="10" spans="1:4" x14ac:dyDescent="0.35">
      <c r="A10" s="8" t="s">
        <v>11</v>
      </c>
      <c r="B10" s="12">
        <f>Way1_Per_Review!I30</f>
        <v>0.35553599999999996</v>
      </c>
      <c r="C10" s="12">
        <f>Way1_Per_Review!J30</f>
        <v>1.4687999999999999</v>
      </c>
      <c r="D10" s="12">
        <f>Way1_Per_Review!K30</f>
        <v>2.9375999999999998</v>
      </c>
    </row>
    <row r="11" spans="1:4" x14ac:dyDescent="0.35">
      <c r="A11" s="8" t="s">
        <v>12</v>
      </c>
      <c r="B11" s="13">
        <f>Way2_Tokens_By_Document!J15</f>
        <v>7.7933858399999991</v>
      </c>
      <c r="C11" s="13">
        <f>Way2_Tokens_By_Document!K15</f>
        <v>397.09799999999996</v>
      </c>
      <c r="D11" s="13">
        <f>Way2_Tokens_By_Document!L15</f>
        <v>434.19600000000003</v>
      </c>
    </row>
    <row r="12" spans="1:4" x14ac:dyDescent="0.35">
      <c r="A12" s="8"/>
      <c r="B12" s="8"/>
      <c r="C12" s="8"/>
      <c r="D12" s="8"/>
    </row>
    <row r="13" spans="1:4" x14ac:dyDescent="0.35">
      <c r="A13" s="10" t="s">
        <v>13</v>
      </c>
      <c r="B13" s="10" t="s">
        <v>14</v>
      </c>
      <c r="C13" s="10" t="s">
        <v>15</v>
      </c>
      <c r="D13" s="10" t="s">
        <v>16</v>
      </c>
    </row>
    <row r="14" spans="1:4" x14ac:dyDescent="0.35">
      <c r="A14" s="8" t="s">
        <v>17</v>
      </c>
      <c r="B14" s="13">
        <f>Cost_of_Status_Quo!B28</f>
        <v>56700</v>
      </c>
      <c r="C14" s="13">
        <f>Cost_of_Status_Quo!C28</f>
        <v>8100</v>
      </c>
      <c r="D14" s="13">
        <f>Cost_of_Status_Quo!E28</f>
        <v>48600</v>
      </c>
    </row>
    <row r="15" spans="1:4" x14ac:dyDescent="0.35">
      <c r="A15" s="8" t="s">
        <v>18</v>
      </c>
      <c r="B15" s="13">
        <f>Cost_of_Status_Quo!B29</f>
        <v>34285.714285714283</v>
      </c>
      <c r="C15" s="13">
        <f>Cost_of_Status_Quo!C29</f>
        <v>17142.857142857141</v>
      </c>
      <c r="D15" s="13">
        <f>Cost_of_Status_Quo!E29</f>
        <v>17142.857142857141</v>
      </c>
    </row>
    <row r="16" spans="1:4" x14ac:dyDescent="0.35">
      <c r="A16" s="8" t="s">
        <v>19</v>
      </c>
      <c r="B16" s="13">
        <f>Cost_of_Status_Quo!B30</f>
        <v>35200</v>
      </c>
      <c r="C16" s="13">
        <f>Cost_of_Status_Quo!C30</f>
        <v>7039.9999999999982</v>
      </c>
      <c r="D16" s="13">
        <f>Cost_of_Status_Quo!E30</f>
        <v>28160</v>
      </c>
    </row>
    <row r="17" spans="1:4" x14ac:dyDescent="0.35">
      <c r="A17" s="8" t="s">
        <v>20</v>
      </c>
      <c r="B17" s="13">
        <f>Cost_of_Status_Quo!B31</f>
        <v>0</v>
      </c>
      <c r="C17" s="13">
        <f>Cost_of_Status_Quo!C31</f>
        <v>396.36997199999996</v>
      </c>
      <c r="D17" s="13">
        <f>Cost_of_Status_Quo!E31</f>
        <v>-396.36997199999996</v>
      </c>
    </row>
    <row r="18" spans="1:4" x14ac:dyDescent="0.35">
      <c r="A18" s="14" t="s">
        <v>21</v>
      </c>
      <c r="B18" s="15">
        <f>Cost_of_Status_Quo!B32</f>
        <v>126185.71428571429</v>
      </c>
      <c r="C18" s="15">
        <f>Cost_of_Status_Quo!C32</f>
        <v>32679.227114857138</v>
      </c>
      <c r="D18" s="15">
        <f>Cost_of_Status_Quo!E32</f>
        <v>93506.487170857145</v>
      </c>
    </row>
    <row r="19" spans="1:4" x14ac:dyDescent="0.35">
      <c r="A19" s="8" t="s">
        <v>22</v>
      </c>
      <c r="B19" s="16">
        <f>Cost_of_Status_Quo!B33</f>
        <v>31.5</v>
      </c>
      <c r="C19" s="16">
        <f>Cost_of_Status_Quo!C33</f>
        <v>4.5</v>
      </c>
      <c r="D19" s="8"/>
    </row>
    <row r="20" spans="1:4" x14ac:dyDescent="0.35">
      <c r="A20" s="8" t="s">
        <v>23</v>
      </c>
      <c r="B20" s="8"/>
      <c r="C20" s="13">
        <f>Cost_of_Status_Quo!C34</f>
        <v>5701.4687999999996</v>
      </c>
      <c r="D20" s="8"/>
    </row>
    <row r="21" spans="1:4" x14ac:dyDescent="0.35">
      <c r="A21" s="8" t="s">
        <v>24</v>
      </c>
      <c r="B21" s="8"/>
      <c r="C21" s="16">
        <f>Cost_of_Status_Quo!C35</f>
        <v>0.73168854557637031</v>
      </c>
      <c r="D21" s="8"/>
    </row>
    <row r="22" spans="1:4" x14ac:dyDescent="0.35">
      <c r="A22" s="8" t="s">
        <v>25</v>
      </c>
      <c r="B22" s="8"/>
      <c r="C22" s="17">
        <f>Cost_of_Status_Quo!C36</f>
        <v>235.90709129413352</v>
      </c>
      <c r="D22" s="8"/>
    </row>
    <row r="23" spans="1:4" x14ac:dyDescent="0.35">
      <c r="A23" s="8"/>
      <c r="B23" s="8"/>
      <c r="C23" s="8"/>
      <c r="D23" s="8"/>
    </row>
    <row r="24" spans="1:4" x14ac:dyDescent="0.35">
      <c r="A24" s="10" t="s">
        <v>26</v>
      </c>
      <c r="B24" s="10" t="s">
        <v>27</v>
      </c>
      <c r="C24" s="10"/>
      <c r="D24" s="10"/>
    </row>
    <row r="25" spans="1:4" x14ac:dyDescent="0.35">
      <c r="A25" s="8" t="s">
        <v>28</v>
      </c>
      <c r="B25" s="13">
        <f>Cost_of_Status_Quo!B22</f>
        <v>740000</v>
      </c>
      <c r="C25" s="8"/>
      <c r="D25" s="8"/>
    </row>
    <row r="26" spans="1:4" x14ac:dyDescent="0.35">
      <c r="A26" s="8" t="s">
        <v>29</v>
      </c>
      <c r="B26" s="13">
        <f>Cost_of_Status_Quo!B23</f>
        <v>600000</v>
      </c>
      <c r="C26" s="8"/>
      <c r="D26" s="8"/>
    </row>
    <row r="27" spans="1:4" x14ac:dyDescent="0.35">
      <c r="A27" s="8" t="s">
        <v>30</v>
      </c>
      <c r="B27" s="13">
        <f>Cost_of_Status_Quo!B24</f>
        <v>185000</v>
      </c>
      <c r="C27" s="8"/>
      <c r="D27" s="8"/>
    </row>
    <row r="28" spans="1:4" x14ac:dyDescent="0.35">
      <c r="A28" s="8" t="s">
        <v>31</v>
      </c>
      <c r="B28" s="13">
        <f>Cost_of_Status_Quo!B10</f>
        <v>35200</v>
      </c>
      <c r="C28" s="8"/>
      <c r="D28" s="8"/>
    </row>
    <row r="29" spans="1:4" x14ac:dyDescent="0.35">
      <c r="A29" s="8"/>
      <c r="B29" s="8"/>
      <c r="C29" s="8"/>
      <c r="D29" s="8"/>
    </row>
    <row r="30" spans="1:4" x14ac:dyDescent="0.35">
      <c r="A30" s="18" t="s">
        <v>32</v>
      </c>
      <c r="B30" s="8"/>
      <c r="C30" s="8"/>
      <c r="D30" s="8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1"/>
  <sheetViews>
    <sheetView showGridLines="0" zoomScaleNormal="100" workbookViewId="0"/>
  </sheetViews>
  <sheetFormatPr defaultColWidth="8.5" defaultRowHeight="18" x14ac:dyDescent="0.35"/>
  <cols>
    <col min="1" max="1" width="34" customWidth="1"/>
    <col min="2" max="2" width="10" customWidth="1"/>
    <col min="3" max="3" width="8" customWidth="1"/>
    <col min="4" max="4" width="11" customWidth="1"/>
    <col min="5" max="6" width="13" customWidth="1"/>
    <col min="7" max="8" width="14" customWidth="1"/>
    <col min="9" max="11" width="13" customWidth="1"/>
  </cols>
  <sheetData>
    <row r="1" spans="1:11" x14ac:dyDescent="0.35">
      <c r="A1" s="7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5">
      <c r="A2" s="9" t="s">
        <v>120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</row>
    <row r="4" spans="1:11" ht="27.6" x14ac:dyDescent="0.35">
      <c r="A4" s="10" t="s">
        <v>121</v>
      </c>
      <c r="B4" s="10" t="s">
        <v>122</v>
      </c>
      <c r="C4" s="10" t="s">
        <v>123</v>
      </c>
      <c r="D4" s="10" t="s">
        <v>124</v>
      </c>
      <c r="E4" s="10" t="s">
        <v>125</v>
      </c>
      <c r="F4" s="10" t="s">
        <v>126</v>
      </c>
      <c r="G4" s="10" t="s">
        <v>127</v>
      </c>
      <c r="H4" s="10" t="s">
        <v>128</v>
      </c>
      <c r="I4" s="10" t="s">
        <v>129</v>
      </c>
      <c r="J4" s="10" t="s">
        <v>130</v>
      </c>
      <c r="K4" s="10" t="s">
        <v>131</v>
      </c>
    </row>
    <row r="5" spans="1:11" x14ac:dyDescent="0.35">
      <c r="A5" s="83" t="s">
        <v>132</v>
      </c>
      <c r="B5" s="83" t="s">
        <v>133</v>
      </c>
      <c r="C5" s="83" t="s">
        <v>134</v>
      </c>
      <c r="D5" s="84">
        <v>1</v>
      </c>
      <c r="E5" s="85">
        <v>0</v>
      </c>
      <c r="F5" s="85">
        <v>0</v>
      </c>
      <c r="G5" s="86">
        <f t="shared" ref="G5:G15" si="0">D5*E5</f>
        <v>0</v>
      </c>
      <c r="H5" s="86">
        <f t="shared" ref="H5:H15" si="1">D5*F5</f>
        <v>0</v>
      </c>
      <c r="I5" s="87">
        <f>IF(C5="main",G5*Inputs!$B$64+H5*Inputs!$C$64,IF(C5="fast",G5*Inputs!$D$64+H5*Inputs!$E$64,0))/1000000</f>
        <v>0</v>
      </c>
      <c r="J5" s="87">
        <f>IF(C5="main",G5*Inputs!$B$65+H5*Inputs!$C$65,IF(C5="fast",G5*Inputs!$D$65+H5*Inputs!$E$65,0))/1000000</f>
        <v>0</v>
      </c>
      <c r="K5" s="87">
        <f>IF(C5="main",G5*Inputs!$B$66+H5*Inputs!$C$66,IF(C5="fast",G5*Inputs!$D$66+H5*Inputs!$E$66,0))/1000000</f>
        <v>0</v>
      </c>
    </row>
    <row r="6" spans="1:11" x14ac:dyDescent="0.35">
      <c r="A6" s="83" t="s">
        <v>135</v>
      </c>
      <c r="B6" s="83" t="s">
        <v>136</v>
      </c>
      <c r="C6" s="83" t="s">
        <v>137</v>
      </c>
      <c r="D6" s="84">
        <v>1</v>
      </c>
      <c r="E6" s="88">
        <f>Inputs!$B$19</f>
        <v>4050</v>
      </c>
      <c r="F6" s="88">
        <f>Inputs!$B$20</f>
        <v>300</v>
      </c>
      <c r="G6" s="86">
        <f t="shared" si="0"/>
        <v>4050</v>
      </c>
      <c r="H6" s="86">
        <f t="shared" si="1"/>
        <v>300</v>
      </c>
      <c r="I6" s="87">
        <f>IF(C6="main",G6*Inputs!$B$64+H6*Inputs!$C$64,IF(C6="fast",G6*Inputs!$D$64+H6*Inputs!$E$64,0))/1000000</f>
        <v>2.6264999999999999E-3</v>
      </c>
      <c r="J6" s="87">
        <f>IF(C6="main",G6*Inputs!$B$65+H6*Inputs!$C$65,IF(C6="fast",G6*Inputs!$D$65+H6*Inputs!$E$65,0))/1000000</f>
        <v>5.5500000000000005E-4</v>
      </c>
      <c r="K6" s="87">
        <f>IF(C6="main",G6*Inputs!$B$66+H6*Inputs!$C$66,IF(C6="fast",G6*Inputs!$D$66+H6*Inputs!$E$66,0))/1000000</f>
        <v>2.2200000000000001E-2</v>
      </c>
    </row>
    <row r="7" spans="1:11" x14ac:dyDescent="0.35">
      <c r="A7" s="83" t="s">
        <v>138</v>
      </c>
      <c r="B7" s="83" t="s">
        <v>133</v>
      </c>
      <c r="C7" s="83" t="s">
        <v>134</v>
      </c>
      <c r="D7" s="84">
        <v>1</v>
      </c>
      <c r="E7" s="85">
        <v>0</v>
      </c>
      <c r="F7" s="85">
        <v>0</v>
      </c>
      <c r="G7" s="86">
        <f t="shared" si="0"/>
        <v>0</v>
      </c>
      <c r="H7" s="86">
        <f t="shared" si="1"/>
        <v>0</v>
      </c>
      <c r="I7" s="87">
        <f>IF(C7="main",G7*Inputs!$B$64+H7*Inputs!$C$64,IF(C7="fast",G7*Inputs!$D$64+H7*Inputs!$E$64,0))/1000000</f>
        <v>0</v>
      </c>
      <c r="J7" s="87">
        <f>IF(C7="main",G7*Inputs!$B$65+H7*Inputs!$C$65,IF(C7="fast",G7*Inputs!$D$65+H7*Inputs!$E$65,0))/1000000</f>
        <v>0</v>
      </c>
      <c r="K7" s="87">
        <f>IF(C7="main",G7*Inputs!$B$66+H7*Inputs!$C$66,IF(C7="fast",G7*Inputs!$D$66+H7*Inputs!$E$66,0))/1000000</f>
        <v>0</v>
      </c>
    </row>
    <row r="8" spans="1:11" x14ac:dyDescent="0.35">
      <c r="A8" s="83" t="s">
        <v>139</v>
      </c>
      <c r="B8" s="83" t="s">
        <v>133</v>
      </c>
      <c r="C8" s="83" t="s">
        <v>134</v>
      </c>
      <c r="D8" s="84">
        <v>1</v>
      </c>
      <c r="E8" s="85">
        <v>0</v>
      </c>
      <c r="F8" s="85">
        <v>0</v>
      </c>
      <c r="G8" s="86">
        <f t="shared" si="0"/>
        <v>0</v>
      </c>
      <c r="H8" s="86">
        <f t="shared" si="1"/>
        <v>0</v>
      </c>
      <c r="I8" s="87">
        <f>IF(C8="main",G8*Inputs!$B$64+H8*Inputs!$C$64,IF(C8="fast",G8*Inputs!$D$64+H8*Inputs!$E$64,0))/1000000</f>
        <v>0</v>
      </c>
      <c r="J8" s="87">
        <f>IF(C8="main",G8*Inputs!$B$65+H8*Inputs!$C$65,IF(C8="fast",G8*Inputs!$D$65+H8*Inputs!$E$65,0))/1000000</f>
        <v>0</v>
      </c>
      <c r="K8" s="87">
        <f>IF(C8="main",G8*Inputs!$B$66+H8*Inputs!$C$66,IF(C8="fast",G8*Inputs!$D$66+H8*Inputs!$E$66,0))/1000000</f>
        <v>0</v>
      </c>
    </row>
    <row r="9" spans="1:11" x14ac:dyDescent="0.35">
      <c r="A9" s="83" t="s">
        <v>140</v>
      </c>
      <c r="B9" s="83" t="s">
        <v>133</v>
      </c>
      <c r="C9" s="83" t="s">
        <v>134</v>
      </c>
      <c r="D9" s="84">
        <v>1</v>
      </c>
      <c r="E9" s="85">
        <v>0</v>
      </c>
      <c r="F9" s="85">
        <v>0</v>
      </c>
      <c r="G9" s="86">
        <f t="shared" si="0"/>
        <v>0</v>
      </c>
      <c r="H9" s="86">
        <f t="shared" si="1"/>
        <v>0</v>
      </c>
      <c r="I9" s="87">
        <f>IF(C9="main",G9*Inputs!$B$64+H9*Inputs!$C$64,IF(C9="fast",G9*Inputs!$D$64+H9*Inputs!$E$64,0))/1000000</f>
        <v>0</v>
      </c>
      <c r="J9" s="87">
        <f>IF(C9="main",G9*Inputs!$B$65+H9*Inputs!$C$65,IF(C9="fast",G9*Inputs!$D$65+H9*Inputs!$E$65,0))/1000000</f>
        <v>0</v>
      </c>
      <c r="K9" s="87">
        <f>IF(C9="main",G9*Inputs!$B$66+H9*Inputs!$C$66,IF(C9="fast",G9*Inputs!$D$66+H9*Inputs!$E$66,0))/1000000</f>
        <v>0</v>
      </c>
    </row>
    <row r="10" spans="1:11" x14ac:dyDescent="0.35">
      <c r="A10" s="83" t="s">
        <v>141</v>
      </c>
      <c r="B10" s="83" t="s">
        <v>133</v>
      </c>
      <c r="C10" s="83" t="s">
        <v>134</v>
      </c>
      <c r="D10" s="84">
        <v>1</v>
      </c>
      <c r="E10" s="85">
        <v>0</v>
      </c>
      <c r="F10" s="85">
        <v>0</v>
      </c>
      <c r="G10" s="86">
        <f t="shared" si="0"/>
        <v>0</v>
      </c>
      <c r="H10" s="86">
        <f t="shared" si="1"/>
        <v>0</v>
      </c>
      <c r="I10" s="87">
        <f>IF(C10="main",G10*Inputs!$B$64+H10*Inputs!$C$64,IF(C10="fast",G10*Inputs!$D$64+H10*Inputs!$E$64,0))/1000000</f>
        <v>0</v>
      </c>
      <c r="J10" s="87">
        <f>IF(C10="main",G10*Inputs!$B$65+H10*Inputs!$C$65,IF(C10="fast",G10*Inputs!$D$65+H10*Inputs!$E$65,0))/1000000</f>
        <v>0</v>
      </c>
      <c r="K10" s="87">
        <f>IF(C10="main",G10*Inputs!$B$66+H10*Inputs!$C$66,IF(C10="fast",G10*Inputs!$D$66+H10*Inputs!$E$66,0))/1000000</f>
        <v>0</v>
      </c>
    </row>
    <row r="11" spans="1:11" x14ac:dyDescent="0.35">
      <c r="A11" s="83" t="s">
        <v>142</v>
      </c>
      <c r="B11" s="83" t="s">
        <v>136</v>
      </c>
      <c r="C11" s="83" t="s">
        <v>143</v>
      </c>
      <c r="D11" s="89">
        <f>ROUNDUP(Inputs!$B$13/Inputs!$B$16,0)</f>
        <v>5</v>
      </c>
      <c r="E11" s="88">
        <f>Inputs!$B$16+Inputs!$B$17</f>
        <v>5000</v>
      </c>
      <c r="F11" s="88">
        <f>Inputs!$B$18</f>
        <v>800</v>
      </c>
      <c r="G11" s="86">
        <f t="shared" si="0"/>
        <v>25000</v>
      </c>
      <c r="H11" s="86">
        <f t="shared" si="1"/>
        <v>4000</v>
      </c>
      <c r="I11" s="87">
        <f>IF(C11="main",G11*Inputs!$B$64+H11*Inputs!$C$64,IF(C11="fast",G11*Inputs!$D$64+H11*Inputs!$E$64,0))/1000000</f>
        <v>1.7909999999999999E-2</v>
      </c>
      <c r="J11" s="87">
        <f>IF(C11="main",G11*Inputs!$B$65+H11*Inputs!$C$65,IF(C11="fast",G11*Inputs!$D$65+H11*Inputs!$E$65,0))/1000000</f>
        <v>0.09</v>
      </c>
      <c r="K11" s="87">
        <f>IF(C11="main",G11*Inputs!$B$66+H11*Inputs!$C$66,IF(C11="fast",G11*Inputs!$D$66+H11*Inputs!$E$66,0))/1000000</f>
        <v>0.18</v>
      </c>
    </row>
    <row r="12" spans="1:11" x14ac:dyDescent="0.35">
      <c r="A12" s="83" t="s">
        <v>144</v>
      </c>
      <c r="B12" s="83" t="s">
        <v>136</v>
      </c>
      <c r="C12" s="83" t="s">
        <v>143</v>
      </c>
      <c r="D12" s="89">
        <f>Inputs!$B$21</f>
        <v>0.4</v>
      </c>
      <c r="E12" s="88">
        <f>Inputs!$B$22</f>
        <v>3000</v>
      </c>
      <c r="F12" s="88">
        <f>Inputs!$B$23</f>
        <v>600</v>
      </c>
      <c r="G12" s="86">
        <f t="shared" si="0"/>
        <v>1200</v>
      </c>
      <c r="H12" s="86">
        <f t="shared" si="1"/>
        <v>240</v>
      </c>
      <c r="I12" s="87">
        <f>IF(C12="main",G12*Inputs!$B$64+H12*Inputs!$C$64,IF(C12="fast",G12*Inputs!$D$64+H12*Inputs!$E$64,0))/1000000</f>
        <v>8.9760000000000003E-4</v>
      </c>
      <c r="J12" s="87">
        <f>IF(C12="main",G12*Inputs!$B$65+H12*Inputs!$C$65,IF(C12="fast",G12*Inputs!$D$65+H12*Inputs!$E$65,0))/1000000</f>
        <v>4.7999999999999996E-3</v>
      </c>
      <c r="K12" s="87">
        <f>IF(C12="main",G12*Inputs!$B$66+H12*Inputs!$C$66,IF(C12="fast",G12*Inputs!$D$66+H12*Inputs!$E$66,0))/1000000</f>
        <v>9.5999999999999992E-3</v>
      </c>
    </row>
    <row r="13" spans="1:11" x14ac:dyDescent="0.35">
      <c r="A13" s="83" t="s">
        <v>145</v>
      </c>
      <c r="B13" s="83" t="s">
        <v>133</v>
      </c>
      <c r="C13" s="83" t="s">
        <v>134</v>
      </c>
      <c r="D13" s="84">
        <v>1</v>
      </c>
      <c r="E13" s="85">
        <v>0</v>
      </c>
      <c r="F13" s="85">
        <v>0</v>
      </c>
      <c r="G13" s="86">
        <f t="shared" si="0"/>
        <v>0</v>
      </c>
      <c r="H13" s="86">
        <f t="shared" si="1"/>
        <v>0</v>
      </c>
      <c r="I13" s="87">
        <f>IF(C13="main",G13*Inputs!$B$64+H13*Inputs!$C$64,IF(C13="fast",G13*Inputs!$D$64+H13*Inputs!$E$64,0))/1000000</f>
        <v>0</v>
      </c>
      <c r="J13" s="87">
        <f>IF(C13="main",G13*Inputs!$B$65+H13*Inputs!$C$65,IF(C13="fast",G13*Inputs!$D$65+H13*Inputs!$E$65,0))/1000000</f>
        <v>0</v>
      </c>
      <c r="K13" s="87">
        <f>IF(C13="main",G13*Inputs!$B$66+H13*Inputs!$C$66,IF(C13="fast",G13*Inputs!$D$66+H13*Inputs!$E$66,0))/1000000</f>
        <v>0</v>
      </c>
    </row>
    <row r="14" spans="1:11" x14ac:dyDescent="0.35">
      <c r="A14" s="83" t="s">
        <v>146</v>
      </c>
      <c r="B14" s="83" t="s">
        <v>133</v>
      </c>
      <c r="C14" s="83" t="s">
        <v>134</v>
      </c>
      <c r="D14" s="84">
        <v>1</v>
      </c>
      <c r="E14" s="85">
        <v>0</v>
      </c>
      <c r="F14" s="85">
        <v>0</v>
      </c>
      <c r="G14" s="86">
        <f t="shared" si="0"/>
        <v>0</v>
      </c>
      <c r="H14" s="86">
        <f t="shared" si="1"/>
        <v>0</v>
      </c>
      <c r="I14" s="87">
        <f>IF(C14="main",G14*Inputs!$B$64+H14*Inputs!$C$64,IF(C14="fast",G14*Inputs!$D$64+H14*Inputs!$E$64,0))/1000000</f>
        <v>0</v>
      </c>
      <c r="J14" s="87">
        <f>IF(C14="main",G14*Inputs!$B$65+H14*Inputs!$C$65,IF(C14="fast",G14*Inputs!$D$65+H14*Inputs!$E$65,0))/1000000</f>
        <v>0</v>
      </c>
      <c r="K14" s="87">
        <f>IF(C14="main",G14*Inputs!$B$66+H14*Inputs!$C$66,IF(C14="fast",G14*Inputs!$D$66+H14*Inputs!$E$66,0))/1000000</f>
        <v>0</v>
      </c>
    </row>
    <row r="15" spans="1:11" x14ac:dyDescent="0.35">
      <c r="A15" s="83" t="s">
        <v>147</v>
      </c>
      <c r="B15" s="83" t="s">
        <v>133</v>
      </c>
      <c r="C15" s="83" t="s">
        <v>134</v>
      </c>
      <c r="D15" s="84">
        <v>1</v>
      </c>
      <c r="E15" s="85">
        <v>0</v>
      </c>
      <c r="F15" s="85">
        <v>0</v>
      </c>
      <c r="G15" s="86">
        <f t="shared" si="0"/>
        <v>0</v>
      </c>
      <c r="H15" s="86">
        <f t="shared" si="1"/>
        <v>0</v>
      </c>
      <c r="I15" s="87">
        <f>IF(C15="main",G15*Inputs!$B$64+H15*Inputs!$C$64,IF(C15="fast",G15*Inputs!$D$64+H15*Inputs!$E$64,0))/1000000</f>
        <v>0</v>
      </c>
      <c r="J15" s="87">
        <f>IF(C15="main",G15*Inputs!$B$65+H15*Inputs!$C$65,IF(C15="fast",G15*Inputs!$D$65+H15*Inputs!$E$65,0))/1000000</f>
        <v>0</v>
      </c>
      <c r="K15" s="87">
        <f>IF(C15="main",G15*Inputs!$B$66+H15*Inputs!$C$66,IF(C15="fast",G15*Inputs!$D$66+H15*Inputs!$E$66,0))/1000000</f>
        <v>0</v>
      </c>
    </row>
    <row r="16" spans="1:11" x14ac:dyDescent="0.35">
      <c r="A16" s="14" t="s">
        <v>148</v>
      </c>
      <c r="B16" s="14"/>
      <c r="C16" s="14"/>
      <c r="D16" s="14"/>
      <c r="E16" s="14"/>
      <c r="F16" s="14"/>
      <c r="G16" s="90">
        <f>SUM(G5:G15)</f>
        <v>30250</v>
      </c>
      <c r="H16" s="90">
        <f>SUM(H5:H15)</f>
        <v>4540</v>
      </c>
      <c r="I16" s="91">
        <f>SUM(I5:I15)</f>
        <v>2.1434099999999998E-2</v>
      </c>
      <c r="J16" s="91">
        <f>SUM(J5:J15)</f>
        <v>9.5354999999999995E-2</v>
      </c>
      <c r="K16" s="91">
        <f>SUM(K5:K15)</f>
        <v>0.21179999999999999</v>
      </c>
    </row>
    <row r="17" spans="1:11" x14ac:dyDescent="0.35">
      <c r="A17" s="14" t="s">
        <v>149</v>
      </c>
      <c r="B17" s="14"/>
      <c r="C17" s="14"/>
      <c r="D17" s="14"/>
      <c r="E17" s="14"/>
      <c r="F17" s="14"/>
      <c r="G17" s="14"/>
      <c r="H17" s="14"/>
      <c r="I17" s="91">
        <f>I16*(1+Inputs!$B$28)</f>
        <v>2.5720919999999998E-2</v>
      </c>
      <c r="J17" s="91">
        <f>J16*(1+Inputs!$B$28)</f>
        <v>0.11442599999999999</v>
      </c>
      <c r="K17" s="91">
        <f>K16*(1+Inputs!$B$28)</f>
        <v>0.25416</v>
      </c>
    </row>
    <row r="18" spans="1:11" x14ac:dyDescent="0.3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</row>
    <row r="19" spans="1:11" x14ac:dyDescent="0.35">
      <c r="A19" s="7" t="s">
        <v>150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ht="27.6" x14ac:dyDescent="0.35">
      <c r="A20" s="10" t="s">
        <v>151</v>
      </c>
      <c r="B20" s="10"/>
      <c r="C20" s="10"/>
      <c r="D20" s="10" t="s">
        <v>152</v>
      </c>
      <c r="E20" s="10"/>
      <c r="F20" s="10"/>
      <c r="G20" s="10"/>
      <c r="H20" s="10"/>
      <c r="I20" s="10" t="s">
        <v>3</v>
      </c>
      <c r="J20" s="10" t="s">
        <v>4</v>
      </c>
      <c r="K20" s="10" t="s">
        <v>5</v>
      </c>
    </row>
    <row r="21" spans="1:11" x14ac:dyDescent="0.35">
      <c r="A21" s="8" t="s">
        <v>153</v>
      </c>
      <c r="B21" s="8"/>
      <c r="C21" s="8"/>
      <c r="D21" s="92">
        <f>Inputs!$B$5*Inputs!$B$7</f>
        <v>13.5</v>
      </c>
      <c r="E21" s="8"/>
      <c r="F21" s="8"/>
      <c r="G21" s="8"/>
      <c r="H21" s="8"/>
      <c r="I21" s="93">
        <f>$D21*I$17</f>
        <v>0.34723241999999999</v>
      </c>
      <c r="J21" s="93">
        <f>$D21*J$17</f>
        <v>1.5447509999999998</v>
      </c>
      <c r="K21" s="93">
        <f>$D21*K$17</f>
        <v>3.4311599999999998</v>
      </c>
    </row>
    <row r="22" spans="1:11" x14ac:dyDescent="0.35">
      <c r="A22" s="8" t="s">
        <v>154</v>
      </c>
      <c r="B22" s="8"/>
      <c r="C22" s="8"/>
      <c r="D22" s="92">
        <f>Inputs!$B$8</f>
        <v>6</v>
      </c>
      <c r="E22" s="8"/>
      <c r="F22" s="8"/>
      <c r="G22" s="8"/>
      <c r="H22" s="8"/>
      <c r="I22" s="93">
        <f>$D22*((Inputs!$B$14+Inputs!$B$24)*Inputs!$B$64+Inputs!$B$25*Inputs!$C$64)/1000000*(1+Inputs!$B$28)</f>
        <v>7.1107199999999995E-2</v>
      </c>
      <c r="J22" s="93">
        <f>$D22*((Inputs!$B$14+Inputs!$B$24)*Inputs!$B$65+Inputs!$B$25*Inputs!$C$65)/1000000*(1+Inputs!$B$28)</f>
        <v>0.29375999999999997</v>
      </c>
      <c r="K22" s="93">
        <f>$D22*((Inputs!$B$14+Inputs!$B$24)*Inputs!$B$66+Inputs!$B$25*Inputs!$C$66)/1000000*(1+Inputs!$B$28)</f>
        <v>0.58751999999999993</v>
      </c>
    </row>
    <row r="23" spans="1:11" x14ac:dyDescent="0.35">
      <c r="A23" s="8" t="s">
        <v>155</v>
      </c>
      <c r="B23" s="8"/>
      <c r="C23" s="8"/>
      <c r="D23" s="92">
        <f>Inputs!$B$10</f>
        <v>2</v>
      </c>
      <c r="E23" s="8"/>
      <c r="F23" s="8"/>
      <c r="G23" s="8"/>
      <c r="H23" s="8"/>
      <c r="I23" s="93">
        <f>$D23*((Inputs!$B$15+Inputs!$B$24)*Inputs!$B$64+Inputs!$B$25*Inputs!$C$64)/1000000*(1+Inputs!$B$28)</f>
        <v>6.7103999999999992E-3</v>
      </c>
      <c r="J23" s="93">
        <f>$D23*((Inputs!$B$15+Inputs!$B$24)*Inputs!$B$65+Inputs!$B$25*Inputs!$C$65)/1000000*(1+Inputs!$B$28)</f>
        <v>4.0319999999999995E-2</v>
      </c>
      <c r="K23" s="93">
        <f>$D23*((Inputs!$B$15+Inputs!$B$24)*Inputs!$B$66+Inputs!$B$25*Inputs!$C$66)/1000000*(1+Inputs!$B$28)</f>
        <v>8.0639999999999989E-2</v>
      </c>
    </row>
    <row r="24" spans="1:11" x14ac:dyDescent="0.35">
      <c r="A24" s="8" t="s">
        <v>64</v>
      </c>
      <c r="B24" s="8"/>
      <c r="C24" s="8"/>
      <c r="D24" s="92">
        <f>Inputs!$B$11</f>
        <v>80</v>
      </c>
      <c r="E24" s="8"/>
      <c r="F24" s="8"/>
      <c r="G24" s="8"/>
      <c r="H24" s="8"/>
      <c r="I24" s="93">
        <f>$D24*(Inputs!$B$26*Inputs!$B$64+Inputs!$B$27*Inputs!$C$64)/1000000*(1+Inputs!$B$28)</f>
        <v>0.25689599999999996</v>
      </c>
      <c r="J24" s="93">
        <f>$D24*(Inputs!$B$26*Inputs!$B$65+Inputs!$B$27*Inputs!$C$65)/1000000*(1+Inputs!$B$28)</f>
        <v>1.1519999999999999</v>
      </c>
      <c r="K24" s="93">
        <f>$D24*(Inputs!$B$26*Inputs!$B$66+Inputs!$B$27*Inputs!$C$66)/1000000*(1+Inputs!$B$28)</f>
        <v>2.3039999999999998</v>
      </c>
    </row>
    <row r="25" spans="1:11" x14ac:dyDescent="0.35">
      <c r="A25" s="94" t="s">
        <v>156</v>
      </c>
      <c r="B25" s="8"/>
      <c r="C25" s="8"/>
      <c r="D25" s="8"/>
      <c r="E25" s="8"/>
      <c r="F25" s="8"/>
      <c r="G25" s="8"/>
      <c r="H25" s="8"/>
      <c r="I25" s="93">
        <f>SUM(I21:I24)</f>
        <v>0.68194601999999993</v>
      </c>
      <c r="J25" s="93">
        <f>SUM(J21:J24)</f>
        <v>3.0308309999999996</v>
      </c>
      <c r="K25" s="93">
        <f>SUM(K21:K24)</f>
        <v>6.403319999999999</v>
      </c>
    </row>
    <row r="26" spans="1:11" x14ac:dyDescent="0.35">
      <c r="A26" s="8" t="s">
        <v>157</v>
      </c>
      <c r="B26" s="8"/>
      <c r="C26" s="8"/>
      <c r="D26" s="8"/>
      <c r="E26" s="8"/>
      <c r="F26" s="8"/>
      <c r="G26" s="8"/>
      <c r="H26" s="8"/>
      <c r="I26" s="93">
        <f>Inputs!$B$30</f>
        <v>0</v>
      </c>
      <c r="J26" s="93">
        <f>Inputs!$B$31+Inputs!$B$32</f>
        <v>30</v>
      </c>
      <c r="K26" s="93">
        <f>Inputs!$B$31+Inputs!$B$32</f>
        <v>30</v>
      </c>
    </row>
    <row r="27" spans="1:11" x14ac:dyDescent="0.35">
      <c r="A27" s="14" t="s">
        <v>158</v>
      </c>
      <c r="B27" s="14"/>
      <c r="C27" s="14"/>
      <c r="D27" s="14"/>
      <c r="E27" s="14"/>
      <c r="F27" s="14"/>
      <c r="G27" s="14"/>
      <c r="H27" s="14"/>
      <c r="I27" s="95">
        <f>I25+I26</f>
        <v>0.68194601999999993</v>
      </c>
      <c r="J27" s="95">
        <f>J25+J26</f>
        <v>33.030830999999999</v>
      </c>
      <c r="K27" s="95">
        <f>K25+K26</f>
        <v>36.403320000000001</v>
      </c>
    </row>
    <row r="28" spans="1:11" x14ac:dyDescent="0.35">
      <c r="A28" s="14" t="s">
        <v>159</v>
      </c>
      <c r="B28" s="14"/>
      <c r="C28" s="14"/>
      <c r="D28" s="14"/>
      <c r="E28" s="14"/>
      <c r="F28" s="14"/>
      <c r="G28" s="14"/>
      <c r="H28" s="14"/>
      <c r="I28" s="96">
        <f>I27*12</f>
        <v>8.1833522399999996</v>
      </c>
      <c r="J28" s="96">
        <f>J27*12</f>
        <v>396.36997199999996</v>
      </c>
      <c r="K28" s="96">
        <f>K27*12</f>
        <v>436.83983999999998</v>
      </c>
    </row>
    <row r="29" spans="1:11" x14ac:dyDescent="0.35">
      <c r="A29" s="14" t="s">
        <v>160</v>
      </c>
      <c r="B29" s="14"/>
      <c r="C29" s="14"/>
      <c r="D29" s="14"/>
      <c r="E29" s="14"/>
      <c r="F29" s="14"/>
      <c r="G29" s="14"/>
      <c r="H29" s="14"/>
      <c r="I29" s="96">
        <f>(I25*Inputs!$B$6/Inputs!$B$5+I26)*12</f>
        <v>13.6389204</v>
      </c>
      <c r="J29" s="96">
        <f>(J25*Inputs!$B$6/Inputs!$B$5+J26)*12</f>
        <v>420.61661999999995</v>
      </c>
      <c r="K29" s="96">
        <f>(K25*Inputs!$B$6/Inputs!$B$5+K26)*12</f>
        <v>488.06639999999993</v>
      </c>
    </row>
    <row r="30" spans="1:11" x14ac:dyDescent="0.35">
      <c r="A30" s="8" t="s">
        <v>161</v>
      </c>
      <c r="B30" s="8"/>
      <c r="C30" s="8"/>
      <c r="D30" s="8"/>
      <c r="E30" s="8"/>
      <c r="F30" s="8"/>
      <c r="G30" s="8"/>
      <c r="H30" s="8"/>
      <c r="I30" s="93">
        <f>Inputs!$B$9*((Inputs!$B$14+Inputs!$B$24)*Inputs!$B$64+Inputs!$B$25*Inputs!$C$64)/1000000*(1+Inputs!$B$28)</f>
        <v>0.35553599999999996</v>
      </c>
      <c r="J30" s="93">
        <f>Inputs!$B$9*((Inputs!$B$14+Inputs!$B$24)*Inputs!$B$65+Inputs!$B$25*Inputs!$C$65)/1000000*(1+Inputs!$B$28)</f>
        <v>1.4687999999999999</v>
      </c>
      <c r="K30" s="93">
        <f>Inputs!$B$9*((Inputs!$B$14+Inputs!$B$24)*Inputs!$B$66+Inputs!$B$25*Inputs!$C$66)/1000000*(1+Inputs!$B$28)</f>
        <v>2.9375999999999998</v>
      </c>
    </row>
    <row r="31" spans="1:11" x14ac:dyDescent="0.35">
      <c r="A31" s="94" t="s">
        <v>162</v>
      </c>
      <c r="B31" s="8"/>
      <c r="C31" s="8"/>
      <c r="D31" s="8"/>
      <c r="E31" s="8"/>
      <c r="F31" s="8"/>
      <c r="G31" s="8"/>
      <c r="H31" s="8"/>
      <c r="I31" s="93">
        <f>I27/Inputs!$B$5</f>
        <v>7.5771779999999997E-2</v>
      </c>
      <c r="J31" s="93">
        <f>J27/Inputs!$B$5</f>
        <v>3.6700923333333333</v>
      </c>
      <c r="K31" s="93">
        <f>K27/Inputs!$B$5</f>
        <v>4.0448133333333338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7"/>
  <sheetViews>
    <sheetView showGridLines="0" zoomScaleNormal="100" workbookViewId="0"/>
  </sheetViews>
  <sheetFormatPr defaultColWidth="8.5" defaultRowHeight="18" x14ac:dyDescent="0.35"/>
  <cols>
    <col min="1" max="1" width="40" customWidth="1"/>
    <col min="2" max="2" width="11" customWidth="1"/>
    <col min="3" max="3" width="12" customWidth="1"/>
    <col min="4" max="4" width="11" customWidth="1"/>
    <col min="5" max="6" width="13" customWidth="1"/>
    <col min="7" max="7" width="12" customWidth="1"/>
    <col min="8" max="9" width="15" customWidth="1"/>
    <col min="10" max="12" width="13" customWidth="1"/>
  </cols>
  <sheetData>
    <row r="1" spans="1:12" x14ac:dyDescent="0.35">
      <c r="A1" s="7" t="s">
        <v>163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 x14ac:dyDescent="0.35">
      <c r="A2" s="9" t="s">
        <v>164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 x14ac:dyDescent="0.3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pans="1:12" ht="41.4" x14ac:dyDescent="0.35">
      <c r="A4" s="10" t="s">
        <v>165</v>
      </c>
      <c r="B4" s="10" t="s">
        <v>166</v>
      </c>
      <c r="C4" s="10" t="s">
        <v>167</v>
      </c>
      <c r="D4" s="10" t="s">
        <v>168</v>
      </c>
      <c r="E4" s="10" t="s">
        <v>169</v>
      </c>
      <c r="F4" s="10" t="s">
        <v>170</v>
      </c>
      <c r="G4" s="10" t="s">
        <v>171</v>
      </c>
      <c r="H4" s="10" t="s">
        <v>172</v>
      </c>
      <c r="I4" s="10" t="s">
        <v>173</v>
      </c>
      <c r="J4" s="10" t="s">
        <v>174</v>
      </c>
      <c r="K4" s="10" t="s">
        <v>175</v>
      </c>
      <c r="L4" s="10" t="s">
        <v>176</v>
      </c>
    </row>
    <row r="5" spans="1:12" x14ac:dyDescent="0.35">
      <c r="A5" s="83" t="s">
        <v>177</v>
      </c>
      <c r="B5" s="88">
        <f>Inputs!$B$5</f>
        <v>9</v>
      </c>
      <c r="C5" s="88">
        <f>Inputs!$B$13</f>
        <v>15000</v>
      </c>
      <c r="D5" s="97">
        <v>1.19</v>
      </c>
      <c r="E5" s="88">
        <f>ROUNDUP(Inputs!$B$13/Inputs!$B$16,0)*Inputs!$B$17+300+Inputs!$B$21*Inputs!$B$22</f>
        <v>9000</v>
      </c>
      <c r="F5" s="86">
        <f t="shared" ref="F5:F12" si="0">C5*D5+E5</f>
        <v>26850</v>
      </c>
      <c r="G5" s="88">
        <f>ROUNDUP(Inputs!$B$13/Inputs!$B$16,0)*Inputs!$B$18+Inputs!$B$20+Inputs!$B$21*Inputs!$B$23</f>
        <v>4540</v>
      </c>
      <c r="H5" s="86">
        <f>B5*F5*(1+Inputs!$B$28)</f>
        <v>289980</v>
      </c>
      <c r="I5" s="86">
        <f>B5*G5*(1+Inputs!$B$28)</f>
        <v>49032</v>
      </c>
      <c r="J5" s="98">
        <f>(H5*Inputs!$B$64+I5*Inputs!$C$64)/1000000</f>
        <v>0.20982347999999998</v>
      </c>
      <c r="K5" s="98">
        <f>(H5*Inputs!$B$65+I5*Inputs!$C$65)/1000000</f>
        <v>1.0702799999999999</v>
      </c>
      <c r="L5" s="98">
        <f>(H5*Inputs!$B$66+I5*Inputs!$C$66)/1000000</f>
        <v>2.1405599999999998</v>
      </c>
    </row>
    <row r="6" spans="1:12" x14ac:dyDescent="0.35">
      <c r="A6" s="83" t="s">
        <v>178</v>
      </c>
      <c r="B6" s="88">
        <f>Inputs!$B$5*(Inputs!$B$7-1)</f>
        <v>4.5</v>
      </c>
      <c r="C6" s="88">
        <f>Inputs!$B$13</f>
        <v>15000</v>
      </c>
      <c r="D6" s="97">
        <v>1.19</v>
      </c>
      <c r="E6" s="99">
        <f>E5</f>
        <v>9000</v>
      </c>
      <c r="F6" s="86">
        <f t="shared" si="0"/>
        <v>26850</v>
      </c>
      <c r="G6" s="99">
        <f>G5</f>
        <v>4540</v>
      </c>
      <c r="H6" s="86">
        <f>B6*F6*(1+Inputs!$B$28)</f>
        <v>144990</v>
      </c>
      <c r="I6" s="86">
        <f>B6*G6*(1+Inputs!$B$28)</f>
        <v>24516</v>
      </c>
      <c r="J6" s="98">
        <f>(H6*Inputs!$B$64+I6*Inputs!$C$64)/1000000</f>
        <v>0.10491173999999999</v>
      </c>
      <c r="K6" s="98">
        <f>(H6*Inputs!$B$65+I6*Inputs!$C$65)/1000000</f>
        <v>0.53513999999999995</v>
      </c>
      <c r="L6" s="98">
        <f>(H6*Inputs!$B$66+I6*Inputs!$C$66)/1000000</f>
        <v>1.0702799999999999</v>
      </c>
    </row>
    <row r="7" spans="1:12" x14ac:dyDescent="0.35">
      <c r="A7" s="83" t="s">
        <v>179</v>
      </c>
      <c r="B7" s="88">
        <f>Inputs!$B$8</f>
        <v>6</v>
      </c>
      <c r="C7" s="88">
        <f>Inputs!$B$14</f>
        <v>15000</v>
      </c>
      <c r="D7" s="97">
        <v>1</v>
      </c>
      <c r="E7" s="88">
        <f>Inputs!$B$24</f>
        <v>400</v>
      </c>
      <c r="F7" s="86">
        <f t="shared" si="0"/>
        <v>15400</v>
      </c>
      <c r="G7" s="88">
        <f>Inputs!$B$25</f>
        <v>1000</v>
      </c>
      <c r="H7" s="86">
        <f>B7*F7*(1+Inputs!$B$28)</f>
        <v>110880</v>
      </c>
      <c r="I7" s="86">
        <f>B7*G7*(1+Inputs!$B$28)</f>
        <v>7200</v>
      </c>
      <c r="J7" s="98">
        <f>(H7*Inputs!$B$64+I7*Inputs!$C$64)/1000000</f>
        <v>7.1107199999999995E-2</v>
      </c>
      <c r="K7" s="98">
        <f>(H7*Inputs!$B$65+I7*Inputs!$C$65)/1000000</f>
        <v>0.29376000000000002</v>
      </c>
      <c r="L7" s="98">
        <f>(H7*Inputs!$B$66+I7*Inputs!$C$66)/1000000</f>
        <v>0.58752000000000004</v>
      </c>
    </row>
    <row r="8" spans="1:12" x14ac:dyDescent="0.35">
      <c r="A8" s="83" t="s">
        <v>180</v>
      </c>
      <c r="B8" s="88">
        <f>Inputs!$B$10</f>
        <v>2</v>
      </c>
      <c r="C8" s="88">
        <f>Inputs!$B$15</f>
        <v>3000</v>
      </c>
      <c r="D8" s="97">
        <v>1</v>
      </c>
      <c r="E8" s="88">
        <f>Inputs!$B$24</f>
        <v>400</v>
      </c>
      <c r="F8" s="86">
        <f t="shared" si="0"/>
        <v>3400</v>
      </c>
      <c r="G8" s="88">
        <f>Inputs!$B$25</f>
        <v>1000</v>
      </c>
      <c r="H8" s="86">
        <f>B8*F8*(1+Inputs!$B$28)</f>
        <v>8160</v>
      </c>
      <c r="I8" s="86">
        <f>B8*G8*(1+Inputs!$B$28)</f>
        <v>2400</v>
      </c>
      <c r="J8" s="98">
        <f>(H8*Inputs!$B$64+I8*Inputs!$C$64)/1000000</f>
        <v>6.7104E-3</v>
      </c>
      <c r="K8" s="98">
        <f>(H8*Inputs!$B$65+I8*Inputs!$C$65)/1000000</f>
        <v>4.0320000000000002E-2</v>
      </c>
      <c r="L8" s="98">
        <f>(H8*Inputs!$B$66+I8*Inputs!$C$66)/1000000</f>
        <v>8.0640000000000003E-2</v>
      </c>
    </row>
    <row r="9" spans="1:12" x14ac:dyDescent="0.35">
      <c r="A9" s="83" t="s">
        <v>181</v>
      </c>
      <c r="B9" s="85">
        <v>4</v>
      </c>
      <c r="C9" s="85">
        <v>2000</v>
      </c>
      <c r="D9" s="97">
        <v>0</v>
      </c>
      <c r="E9" s="85">
        <v>0</v>
      </c>
      <c r="F9" s="86">
        <f t="shared" si="0"/>
        <v>0</v>
      </c>
      <c r="G9" s="85">
        <v>0</v>
      </c>
      <c r="H9" s="86">
        <f>B9*F9*(1+Inputs!$B$28)</f>
        <v>0</v>
      </c>
      <c r="I9" s="86">
        <f>B9*G9*(1+Inputs!$B$28)</f>
        <v>0</v>
      </c>
      <c r="J9" s="98">
        <f>(H9*Inputs!$B$64+I9*Inputs!$C$64)/1000000</f>
        <v>0</v>
      </c>
      <c r="K9" s="98">
        <f>(H9*Inputs!$B$65+I9*Inputs!$C$65)/1000000</f>
        <v>0</v>
      </c>
      <c r="L9" s="98">
        <f>(H9*Inputs!$B$66+I9*Inputs!$C$66)/1000000</f>
        <v>0</v>
      </c>
    </row>
    <row r="10" spans="1:12" x14ac:dyDescent="0.35">
      <c r="A10" s="83" t="s">
        <v>182</v>
      </c>
      <c r="B10" s="85">
        <v>48</v>
      </c>
      <c r="C10" s="85">
        <v>0</v>
      </c>
      <c r="D10" s="97">
        <v>0</v>
      </c>
      <c r="E10" s="85">
        <v>0</v>
      </c>
      <c r="F10" s="86">
        <f t="shared" si="0"/>
        <v>0</v>
      </c>
      <c r="G10" s="85">
        <v>0</v>
      </c>
      <c r="H10" s="86">
        <f>B10*F10*(1+Inputs!$B$28)</f>
        <v>0</v>
      </c>
      <c r="I10" s="86">
        <f>B10*G10*(1+Inputs!$B$28)</f>
        <v>0</v>
      </c>
      <c r="J10" s="98">
        <f>(H10*Inputs!$B$64+I10*Inputs!$C$64)/1000000</f>
        <v>0</v>
      </c>
      <c r="K10" s="98">
        <f>(H10*Inputs!$B$65+I10*Inputs!$C$65)/1000000</f>
        <v>0</v>
      </c>
      <c r="L10" s="98">
        <f>(H10*Inputs!$B$66+I10*Inputs!$C$66)/1000000</f>
        <v>0</v>
      </c>
    </row>
    <row r="11" spans="1:12" x14ac:dyDescent="0.35">
      <c r="A11" s="83" t="s">
        <v>64</v>
      </c>
      <c r="B11" s="88">
        <f>Inputs!$B$11</f>
        <v>80</v>
      </c>
      <c r="C11" s="85">
        <v>0</v>
      </c>
      <c r="D11" s="97">
        <v>0</v>
      </c>
      <c r="E11" s="88">
        <f>Inputs!$B$26</f>
        <v>4000</v>
      </c>
      <c r="F11" s="86">
        <f t="shared" si="0"/>
        <v>4000</v>
      </c>
      <c r="G11" s="88">
        <f>Inputs!$B$27</f>
        <v>400</v>
      </c>
      <c r="H11" s="86">
        <f>B11*F11*(1+Inputs!$B$28)</f>
        <v>384000</v>
      </c>
      <c r="I11" s="86">
        <f>B11*G11*(1+Inputs!$B$28)</f>
        <v>38400</v>
      </c>
      <c r="J11" s="98">
        <f>(H11*Inputs!$B$64+I11*Inputs!$C$64)/1000000</f>
        <v>0.25689600000000001</v>
      </c>
      <c r="K11" s="98">
        <f>(H11*Inputs!$B$65+I11*Inputs!$C$65)/1000000</f>
        <v>1.1519999999999999</v>
      </c>
      <c r="L11" s="98">
        <f>(H11*Inputs!$B$66+I11*Inputs!$C$66)/1000000</f>
        <v>2.3039999999999998</v>
      </c>
    </row>
    <row r="12" spans="1:12" x14ac:dyDescent="0.35">
      <c r="A12" s="83" t="s">
        <v>183</v>
      </c>
      <c r="B12" s="88">
        <f>Inputs!$B$5</f>
        <v>9</v>
      </c>
      <c r="C12" s="85">
        <v>0</v>
      </c>
      <c r="D12" s="97">
        <v>0</v>
      </c>
      <c r="E12" s="85">
        <v>0</v>
      </c>
      <c r="F12" s="86">
        <f t="shared" si="0"/>
        <v>0</v>
      </c>
      <c r="G12" s="85">
        <v>0</v>
      </c>
      <c r="H12" s="86">
        <f>B12*F12*(1+Inputs!$B$28)</f>
        <v>0</v>
      </c>
      <c r="I12" s="86">
        <f>B12*G12*(1+Inputs!$B$28)</f>
        <v>0</v>
      </c>
      <c r="J12" s="98">
        <f>(H12*Inputs!$B$64+I12*Inputs!$C$64)/1000000</f>
        <v>0</v>
      </c>
      <c r="K12" s="98">
        <f>(H12*Inputs!$B$65+I12*Inputs!$C$65)/1000000</f>
        <v>0</v>
      </c>
      <c r="L12" s="98">
        <f>(H12*Inputs!$B$66+I12*Inputs!$C$66)/1000000</f>
        <v>0</v>
      </c>
    </row>
    <row r="13" spans="1:12" x14ac:dyDescent="0.35">
      <c r="A13" s="14" t="s">
        <v>156</v>
      </c>
      <c r="B13" s="14"/>
      <c r="C13" s="14"/>
      <c r="D13" s="14"/>
      <c r="E13" s="14"/>
      <c r="F13" s="14"/>
      <c r="G13" s="14"/>
      <c r="H13" s="90">
        <f>SUM(H5:H12)</f>
        <v>938010</v>
      </c>
      <c r="I13" s="90">
        <f>SUM(I5:I12)</f>
        <v>121548</v>
      </c>
      <c r="J13" s="95">
        <f>SUM(J5:J12)</f>
        <v>0.64944881999999993</v>
      </c>
      <c r="K13" s="95">
        <f>SUM(K5:K12)</f>
        <v>3.0914999999999999</v>
      </c>
      <c r="L13" s="95">
        <f>SUM(L5:L12)</f>
        <v>6.1829999999999998</v>
      </c>
    </row>
    <row r="14" spans="1:12" x14ac:dyDescent="0.35">
      <c r="A14" s="8" t="s">
        <v>157</v>
      </c>
      <c r="B14" s="8"/>
      <c r="C14" s="8"/>
      <c r="D14" s="8"/>
      <c r="E14" s="8"/>
      <c r="F14" s="8"/>
      <c r="G14" s="8"/>
      <c r="H14" s="8"/>
      <c r="I14" s="8"/>
      <c r="J14" s="93">
        <f>Inputs!$B$30</f>
        <v>0</v>
      </c>
      <c r="K14" s="93">
        <f>Inputs!$B$31+Inputs!$B$32</f>
        <v>30</v>
      </c>
      <c r="L14" s="93">
        <f>Inputs!$B$31+Inputs!$B$32</f>
        <v>30</v>
      </c>
    </row>
    <row r="15" spans="1:12" x14ac:dyDescent="0.35">
      <c r="A15" s="14" t="s">
        <v>21</v>
      </c>
      <c r="B15" s="14"/>
      <c r="C15" s="14"/>
      <c r="D15" s="14"/>
      <c r="E15" s="14"/>
      <c r="F15" s="14"/>
      <c r="G15" s="14"/>
      <c r="H15" s="14"/>
      <c r="I15" s="14"/>
      <c r="J15" s="96">
        <f>(J13+J14)*12</f>
        <v>7.7933858399999991</v>
      </c>
      <c r="K15" s="96">
        <f>(K13+K14)*12</f>
        <v>397.09799999999996</v>
      </c>
      <c r="L15" s="96">
        <f>(L13+L14)*12</f>
        <v>434.19600000000003</v>
      </c>
    </row>
    <row r="16" spans="1:12" x14ac:dyDescent="0.35">
      <c r="A16" s="8" t="s">
        <v>11</v>
      </c>
      <c r="B16" s="100">
        <f>Inputs!$B$9</f>
        <v>30</v>
      </c>
      <c r="C16" s="8"/>
      <c r="D16" s="8"/>
      <c r="E16" s="8"/>
      <c r="F16" s="8"/>
      <c r="G16" s="8"/>
      <c r="H16" s="100">
        <f>B16*(Inputs!$B$14+Inputs!$B$24)</f>
        <v>462000</v>
      </c>
      <c r="I16" s="100">
        <f>B16*Inputs!$B$25</f>
        <v>30000</v>
      </c>
      <c r="J16" s="93">
        <f>(H16*Inputs!$B$64+I16*Inputs!$C$64)/1000000</f>
        <v>0.29627999999999999</v>
      </c>
      <c r="K16" s="93">
        <f>(H16*Inputs!$B$65+I16*Inputs!$C$65)/1000000</f>
        <v>1.224</v>
      </c>
      <c r="L16" s="93">
        <f>(H16*Inputs!$B$66+I16*Inputs!$C$66)/1000000</f>
        <v>2.448</v>
      </c>
    </row>
    <row r="17" spans="1:12" x14ac:dyDescent="0.35">
      <c r="A17" s="94" t="s">
        <v>184</v>
      </c>
      <c r="B17" s="8"/>
      <c r="C17" s="8"/>
      <c r="D17" s="8"/>
      <c r="E17" s="8"/>
      <c r="F17" s="8"/>
      <c r="G17" s="8"/>
      <c r="H17" s="8"/>
      <c r="I17" s="8"/>
      <c r="J17" s="8"/>
      <c r="K17" s="101">
        <f>K15/Way1_Per_Review!J28</f>
        <v>1.0018367385307381</v>
      </c>
      <c r="L17" s="102" t="s">
        <v>185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"/>
  <sheetViews>
    <sheetView showGridLines="0" zoomScaleNormal="100" workbookViewId="0"/>
  </sheetViews>
  <sheetFormatPr defaultColWidth="8.5" defaultRowHeight="18" x14ac:dyDescent="0.35"/>
  <cols>
    <col min="1" max="1" width="44" customWidth="1"/>
    <col min="2" max="3" width="14" customWidth="1"/>
    <col min="4" max="4" width="58" customWidth="1"/>
    <col min="5" max="5" width="40" customWidth="1"/>
  </cols>
  <sheetData>
    <row r="1" spans="1:5" x14ac:dyDescent="0.35">
      <c r="A1" s="7" t="s">
        <v>186</v>
      </c>
      <c r="B1" s="8"/>
      <c r="C1" s="8"/>
      <c r="D1" s="8"/>
      <c r="E1" s="8"/>
    </row>
    <row r="2" spans="1:5" x14ac:dyDescent="0.35">
      <c r="A2" s="8"/>
      <c r="B2" s="8"/>
      <c r="C2" s="8"/>
      <c r="D2" s="8"/>
      <c r="E2" s="8"/>
    </row>
    <row r="3" spans="1:5" x14ac:dyDescent="0.35">
      <c r="A3" s="94" t="s">
        <v>187</v>
      </c>
      <c r="B3" s="8"/>
      <c r="C3" s="8"/>
      <c r="D3" s="8"/>
      <c r="E3" s="8"/>
    </row>
    <row r="4" spans="1:5" ht="27.6" x14ac:dyDescent="0.35">
      <c r="A4" s="10" t="s">
        <v>188</v>
      </c>
      <c r="B4" s="10" t="s">
        <v>189</v>
      </c>
      <c r="C4" s="10" t="s">
        <v>190</v>
      </c>
      <c r="D4" s="10" t="s">
        <v>191</v>
      </c>
      <c r="E4" s="10" t="s">
        <v>192</v>
      </c>
    </row>
    <row r="5" spans="1:5" x14ac:dyDescent="0.35">
      <c r="A5" s="103" t="s">
        <v>193</v>
      </c>
      <c r="B5" s="104">
        <v>9000</v>
      </c>
      <c r="C5" s="103" t="s">
        <v>194</v>
      </c>
      <c r="D5" s="105" t="s">
        <v>195</v>
      </c>
      <c r="E5" s="106" t="s">
        <v>196</v>
      </c>
    </row>
    <row r="6" spans="1:5" x14ac:dyDescent="0.35">
      <c r="A6" s="103" t="s">
        <v>197</v>
      </c>
      <c r="B6" s="104">
        <v>14200</v>
      </c>
      <c r="C6" s="103" t="s">
        <v>194</v>
      </c>
      <c r="D6" s="105" t="s">
        <v>198</v>
      </c>
      <c r="E6" s="106" t="s">
        <v>199</v>
      </c>
    </row>
    <row r="7" spans="1:5" x14ac:dyDescent="0.35">
      <c r="A7" s="103" t="s">
        <v>200</v>
      </c>
      <c r="B7" s="107">
        <f>Inputs!$B$43*Inputs!$B$35</f>
        <v>12000</v>
      </c>
      <c r="C7" s="103" t="s">
        <v>194</v>
      </c>
      <c r="D7" s="105" t="s">
        <v>201</v>
      </c>
      <c r="E7" s="106" t="s">
        <v>199</v>
      </c>
    </row>
    <row r="8" spans="1:5" x14ac:dyDescent="0.35">
      <c r="A8" s="103" t="s">
        <v>202</v>
      </c>
      <c r="B8" s="104">
        <v>55000</v>
      </c>
      <c r="C8" s="103" t="s">
        <v>203</v>
      </c>
      <c r="D8" s="105" t="s">
        <v>204</v>
      </c>
      <c r="E8" s="106" t="s">
        <v>205</v>
      </c>
    </row>
    <row r="9" spans="1:5" x14ac:dyDescent="0.35">
      <c r="A9" s="103" t="s">
        <v>206</v>
      </c>
      <c r="B9" s="104">
        <v>130000</v>
      </c>
      <c r="C9" s="103" t="s">
        <v>207</v>
      </c>
      <c r="D9" s="105" t="s">
        <v>208</v>
      </c>
      <c r="E9" s="106" t="s">
        <v>209</v>
      </c>
    </row>
    <row r="10" spans="1:5" x14ac:dyDescent="0.35">
      <c r="A10" s="14" t="s">
        <v>210</v>
      </c>
      <c r="B10" s="96">
        <f>SUM(B5:B7)</f>
        <v>35200</v>
      </c>
      <c r="C10" s="14"/>
      <c r="D10" s="14"/>
      <c r="E10" s="14"/>
    </row>
    <row r="11" spans="1:5" x14ac:dyDescent="0.35">
      <c r="A11" s="8"/>
      <c r="B11" s="8"/>
      <c r="C11" s="8"/>
      <c r="D11" s="8"/>
      <c r="E11" s="8"/>
    </row>
    <row r="12" spans="1:5" x14ac:dyDescent="0.35">
      <c r="A12" s="94" t="s">
        <v>211</v>
      </c>
      <c r="B12" s="8"/>
      <c r="C12" s="8"/>
      <c r="D12" s="8"/>
      <c r="E12" s="8"/>
    </row>
    <row r="13" spans="1:5" x14ac:dyDescent="0.35">
      <c r="A13" s="10" t="s">
        <v>212</v>
      </c>
      <c r="B13" s="10" t="s">
        <v>213</v>
      </c>
      <c r="C13" s="10" t="s">
        <v>214</v>
      </c>
      <c r="D13" s="10" t="s">
        <v>215</v>
      </c>
      <c r="E13" s="10" t="s">
        <v>216</v>
      </c>
    </row>
    <row r="14" spans="1:5" x14ac:dyDescent="0.35">
      <c r="A14" s="108" t="s">
        <v>217</v>
      </c>
      <c r="B14" s="109">
        <v>210000</v>
      </c>
      <c r="C14" s="108" t="s">
        <v>218</v>
      </c>
      <c r="D14" s="110" t="s">
        <v>219</v>
      </c>
      <c r="E14" s="110" t="s">
        <v>220</v>
      </c>
    </row>
    <row r="15" spans="1:5" x14ac:dyDescent="0.35">
      <c r="A15" s="108" t="s">
        <v>221</v>
      </c>
      <c r="B15" s="109">
        <v>140000</v>
      </c>
      <c r="C15" s="108" t="s">
        <v>222</v>
      </c>
      <c r="D15" s="110" t="s">
        <v>223</v>
      </c>
      <c r="E15" s="110" t="s">
        <v>224</v>
      </c>
    </row>
    <row r="16" spans="1:5" x14ac:dyDescent="0.35">
      <c r="A16" s="108" t="s">
        <v>225</v>
      </c>
      <c r="B16" s="109">
        <v>96000</v>
      </c>
      <c r="C16" s="108" t="s">
        <v>226</v>
      </c>
      <c r="D16" s="110" t="s">
        <v>227</v>
      </c>
      <c r="E16" s="110" t="s">
        <v>228</v>
      </c>
    </row>
    <row r="17" spans="1:5" x14ac:dyDescent="0.35">
      <c r="A17" s="108" t="s">
        <v>229</v>
      </c>
      <c r="B17" s="109">
        <v>95000</v>
      </c>
      <c r="C17" s="108" t="s">
        <v>230</v>
      </c>
      <c r="D17" s="110" t="s">
        <v>231</v>
      </c>
      <c r="E17" s="110" t="s">
        <v>232</v>
      </c>
    </row>
    <row r="18" spans="1:5" x14ac:dyDescent="0.35">
      <c r="A18" s="108" t="s">
        <v>233</v>
      </c>
      <c r="B18" s="109">
        <v>64000</v>
      </c>
      <c r="C18" s="108" t="s">
        <v>234</v>
      </c>
      <c r="D18" s="110" t="s">
        <v>235</v>
      </c>
      <c r="E18" s="110" t="s">
        <v>236</v>
      </c>
    </row>
    <row r="19" spans="1:5" x14ac:dyDescent="0.35">
      <c r="A19" s="108" t="s">
        <v>237</v>
      </c>
      <c r="B19" s="109">
        <v>52000</v>
      </c>
      <c r="C19" s="108" t="s">
        <v>238</v>
      </c>
      <c r="D19" s="110" t="s">
        <v>239</v>
      </c>
      <c r="E19" s="110" t="s">
        <v>240</v>
      </c>
    </row>
    <row r="20" spans="1:5" x14ac:dyDescent="0.35">
      <c r="A20" s="108" t="s">
        <v>241</v>
      </c>
      <c r="B20" s="109">
        <v>45000</v>
      </c>
      <c r="C20" s="108" t="s">
        <v>242</v>
      </c>
      <c r="D20" s="110" t="s">
        <v>243</v>
      </c>
      <c r="E20" s="110" t="s">
        <v>244</v>
      </c>
    </row>
    <row r="21" spans="1:5" x14ac:dyDescent="0.35">
      <c r="A21" s="108" t="s">
        <v>245</v>
      </c>
      <c r="B21" s="109">
        <v>38000</v>
      </c>
      <c r="C21" s="108" t="s">
        <v>246</v>
      </c>
      <c r="D21" s="110" t="s">
        <v>247</v>
      </c>
      <c r="E21" s="110" t="s">
        <v>248</v>
      </c>
    </row>
    <row r="22" spans="1:5" x14ac:dyDescent="0.35">
      <c r="A22" s="14" t="s">
        <v>28</v>
      </c>
      <c r="B22" s="96">
        <f>SUM(B14:B21)</f>
        <v>740000</v>
      </c>
      <c r="C22" s="14"/>
      <c r="D22" s="14"/>
      <c r="E22" s="14"/>
    </row>
    <row r="23" spans="1:5" x14ac:dyDescent="0.35">
      <c r="A23" s="8" t="s">
        <v>249</v>
      </c>
      <c r="B23" s="111">
        <f>B14+B15+B16+B18+B19+B21</f>
        <v>600000</v>
      </c>
      <c r="C23" s="8"/>
      <c r="D23" s="8"/>
      <c r="E23" s="8"/>
    </row>
    <row r="24" spans="1:5" x14ac:dyDescent="0.35">
      <c r="A24" s="8" t="s">
        <v>250</v>
      </c>
      <c r="B24" s="112">
        <v>185000</v>
      </c>
      <c r="C24" s="8"/>
      <c r="D24" s="102" t="s">
        <v>251</v>
      </c>
      <c r="E24" s="8"/>
    </row>
    <row r="25" spans="1:5" x14ac:dyDescent="0.35">
      <c r="A25" s="8"/>
      <c r="B25" s="8"/>
      <c r="C25" s="8"/>
      <c r="D25" s="8"/>
      <c r="E25" s="8"/>
    </row>
    <row r="26" spans="1:5" x14ac:dyDescent="0.35">
      <c r="A26" s="94" t="s">
        <v>252</v>
      </c>
      <c r="B26" s="8"/>
      <c r="C26" s="8"/>
      <c r="D26" s="8"/>
      <c r="E26" s="8"/>
    </row>
    <row r="27" spans="1:5" ht="41.4" x14ac:dyDescent="0.35">
      <c r="A27" s="10" t="s">
        <v>253</v>
      </c>
      <c r="B27" s="10" t="s">
        <v>254</v>
      </c>
      <c r="C27" s="10" t="s">
        <v>255</v>
      </c>
      <c r="D27" s="10" t="s">
        <v>256</v>
      </c>
      <c r="E27" s="10" t="s">
        <v>257</v>
      </c>
    </row>
    <row r="28" spans="1:5" x14ac:dyDescent="0.35">
      <c r="A28" s="103" t="s">
        <v>17</v>
      </c>
      <c r="B28" s="113">
        <f>Inputs!$B$5*12*Inputs!$B$36*Inputs!$B$35</f>
        <v>56700</v>
      </c>
      <c r="C28" s="113">
        <f>Inputs!$B$5*12*Inputs!$B$37*Inputs!$B$35</f>
        <v>8100</v>
      </c>
      <c r="D28" s="105" t="s">
        <v>258</v>
      </c>
      <c r="E28" s="113">
        <f>B28-C28</f>
        <v>48600</v>
      </c>
    </row>
    <row r="29" spans="1:5" x14ac:dyDescent="0.35">
      <c r="A29" s="103" t="s">
        <v>18</v>
      </c>
      <c r="B29" s="113">
        <f>Inputs!$B$39*12*Inputs!$B$38/Inputs!$B$34</f>
        <v>34285.714285714283</v>
      </c>
      <c r="C29" s="113">
        <f>Inputs!$B$40*12*Inputs!$B$38/Inputs!$B$34</f>
        <v>17142.857142857141</v>
      </c>
      <c r="D29" s="105" t="s">
        <v>259</v>
      </c>
      <c r="E29" s="113">
        <f>B29-C29</f>
        <v>17142.857142857141</v>
      </c>
    </row>
    <row r="30" spans="1:5" x14ac:dyDescent="0.35">
      <c r="A30" s="103" t="s">
        <v>260</v>
      </c>
      <c r="B30" s="113">
        <f>Inputs!$B$41*B10</f>
        <v>35200</v>
      </c>
      <c r="C30" s="113">
        <f>Inputs!$B$41*(1-Inputs!$B$42)*B10</f>
        <v>7039.9999999999982</v>
      </c>
      <c r="D30" s="105" t="s">
        <v>261</v>
      </c>
      <c r="E30" s="113">
        <f>B30-C30</f>
        <v>28160</v>
      </c>
    </row>
    <row r="31" spans="1:5" x14ac:dyDescent="0.35">
      <c r="A31" s="103" t="s">
        <v>262</v>
      </c>
      <c r="B31" s="113">
        <v>0</v>
      </c>
      <c r="C31" s="113">
        <f>Way1_Per_Review!J28</f>
        <v>396.36997199999996</v>
      </c>
      <c r="D31" s="105" t="s">
        <v>263</v>
      </c>
      <c r="E31" s="113">
        <f>B31-C31</f>
        <v>-396.36997199999996</v>
      </c>
    </row>
    <row r="32" spans="1:5" x14ac:dyDescent="0.35">
      <c r="A32" s="14" t="s">
        <v>21</v>
      </c>
      <c r="B32" s="96">
        <f>SUM(B28:B31)</f>
        <v>126185.71428571429</v>
      </c>
      <c r="C32" s="96">
        <f>SUM(C28:C31)</f>
        <v>32679.227114857138</v>
      </c>
      <c r="D32" s="14"/>
      <c r="E32" s="96">
        <f>SUM(E28:E31)</f>
        <v>93506.487170857145</v>
      </c>
    </row>
    <row r="33" spans="1:5" x14ac:dyDescent="0.35">
      <c r="A33" s="8" t="s">
        <v>22</v>
      </c>
      <c r="B33" s="114">
        <f>Inputs!$B$5*Inputs!$B$36</f>
        <v>31.5</v>
      </c>
      <c r="C33" s="114">
        <f>Inputs!$B$5*Inputs!$B$37</f>
        <v>4.5</v>
      </c>
      <c r="D33" s="8"/>
      <c r="E33" s="8"/>
    </row>
    <row r="34" spans="1:5" x14ac:dyDescent="0.35">
      <c r="A34" s="8" t="s">
        <v>264</v>
      </c>
      <c r="B34" s="8"/>
      <c r="C34" s="111">
        <f>Inputs!$B$44*Inputs!$B$45+Inputs!$B$46*Inputs!$B$35+Way1_Per_Review!J30</f>
        <v>5701.4687999999996</v>
      </c>
      <c r="D34" s="8"/>
      <c r="E34" s="8"/>
    </row>
    <row r="35" spans="1:5" x14ac:dyDescent="0.35">
      <c r="A35" s="94" t="s">
        <v>24</v>
      </c>
      <c r="B35" s="8"/>
      <c r="C35" s="114">
        <f>C34/(E32/12)</f>
        <v>0.73168854557637031</v>
      </c>
      <c r="D35" s="8"/>
      <c r="E35" s="8"/>
    </row>
    <row r="36" spans="1:5" x14ac:dyDescent="0.35">
      <c r="A36" s="94" t="s">
        <v>265</v>
      </c>
      <c r="B36" s="8"/>
      <c r="C36" s="115">
        <f>E32/C31</f>
        <v>235.90709129413352</v>
      </c>
      <c r="D36" s="8"/>
      <c r="E36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Inputs</vt:lpstr>
      <vt:lpstr>Cost Savings</vt:lpstr>
      <vt:lpstr>Inference</vt:lpstr>
      <vt:lpstr>Embeddings</vt:lpstr>
      <vt:lpstr>Summary</vt:lpstr>
      <vt:lpstr>Way1_Per_Review</vt:lpstr>
      <vt:lpstr>Way2_Tokens_By_Document</vt:lpstr>
      <vt:lpstr>Cost_of_Status_Quo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Aakash  Pardeshi</dc:creator>
  <dc:description/>
  <cp:lastModifiedBy>Rupali Khade Badkar</cp:lastModifiedBy>
  <cp:revision>0</cp:revision>
  <dcterms:created xsi:type="dcterms:W3CDTF">2026-09-12T10:38:39Z</dcterms:created>
  <dcterms:modified xsi:type="dcterms:W3CDTF">2026-10-13T08:50:21Z</dcterms:modified>
  <dc:language>en-US</dc:language>
</cp:coreProperties>
</file>